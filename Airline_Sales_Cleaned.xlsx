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06b307e593c23d/Portfolio/Airline Traffic Data/"/>
    </mc:Choice>
  </mc:AlternateContent>
  <xr:revisionPtr revIDLastSave="2" documentId="8_{6CF1FE53-5E92-42E3-976A-DE1645DCA530}" xr6:coauthVersionLast="47" xr6:coauthVersionMax="47" xr10:uidLastSave="{4AA4A7F7-145A-4B0B-B080-3357C78F174B}"/>
  <bookViews>
    <workbookView xWindow="28680" yWindow="-4575" windowWidth="29040" windowHeight="15720" xr2:uid="{2046049D-3553-4BDB-A1AF-6BB744DE2734}"/>
  </bookViews>
  <sheets>
    <sheet name="Airline_Sale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</calcChain>
</file>

<file path=xl/sharedStrings.xml><?xml version="1.0" encoding="utf-8"?>
<sst xmlns="http://schemas.openxmlformats.org/spreadsheetml/2006/main" count="2016" uniqueCount="95">
  <si>
    <t>BookingID</t>
  </si>
  <si>
    <t>BookingDate</t>
  </si>
  <si>
    <t>Airline</t>
  </si>
  <si>
    <t>Route</t>
  </si>
  <si>
    <t>Class</t>
  </si>
  <si>
    <t>SalesChannel</t>
  </si>
  <si>
    <t>Region</t>
  </si>
  <si>
    <t>TicketsSold</t>
  </si>
  <si>
    <t>TicketPrice</t>
  </si>
  <si>
    <t>Discount</t>
  </si>
  <si>
    <t>TotalSales</t>
  </si>
  <si>
    <t>BaggageAddon</t>
  </si>
  <si>
    <t>SeatSelectionAddon</t>
  </si>
  <si>
    <t>Revenue per Ticket</t>
  </si>
  <si>
    <t>Baggage Add-on Flag</t>
  </si>
  <si>
    <t>Seat Add-on Flag</t>
  </si>
  <si>
    <t>04/01/2025</t>
  </si>
  <si>
    <t>Airnova</t>
  </si>
  <si>
    <t>NYC-LAX</t>
  </si>
  <si>
    <t>First</t>
  </si>
  <si>
    <t>Agent</t>
  </si>
  <si>
    <t>North America</t>
  </si>
  <si>
    <t>YES</t>
  </si>
  <si>
    <t>09/01/2025</t>
  </si>
  <si>
    <t>NYC-DAL</t>
  </si>
  <si>
    <t>Business</t>
  </si>
  <si>
    <t>Online</t>
  </si>
  <si>
    <t>21/01/2025</t>
  </si>
  <si>
    <t>Flyfast</t>
  </si>
  <si>
    <t>Economy</t>
  </si>
  <si>
    <t>NO</t>
  </si>
  <si>
    <t>23/02/2025</t>
  </si>
  <si>
    <t>Skyjet</t>
  </si>
  <si>
    <t>CHI-MIA</t>
  </si>
  <si>
    <t>Mobile App</t>
  </si>
  <si>
    <t>Asia</t>
  </si>
  <si>
    <t>24/01/2025</t>
  </si>
  <si>
    <t>25/01/2025</t>
  </si>
  <si>
    <t>01/02/2025</t>
  </si>
  <si>
    <t>30/01/2025</t>
  </si>
  <si>
    <t>Europe</t>
  </si>
  <si>
    <t>06/01/2025</t>
  </si>
  <si>
    <t>23/01/2025</t>
  </si>
  <si>
    <t>DAL-LAX</t>
  </si>
  <si>
    <t>04/02/2025</t>
  </si>
  <si>
    <t>LAX-CHI</t>
  </si>
  <si>
    <t>MIA-NYC</t>
  </si>
  <si>
    <t>25/02/2025</t>
  </si>
  <si>
    <t>01/03/2025</t>
  </si>
  <si>
    <t>13/01/2025</t>
  </si>
  <si>
    <t>16/02/2025</t>
  </si>
  <si>
    <t>22/01/2025</t>
  </si>
  <si>
    <t>22/02/2025</t>
  </si>
  <si>
    <t>28/02/2025</t>
  </si>
  <si>
    <t>06/02/2025</t>
  </si>
  <si>
    <t>27/02/2025</t>
  </si>
  <si>
    <t>19/01/2025</t>
  </si>
  <si>
    <t>03/02/2025</t>
  </si>
  <si>
    <t>21/02/2025</t>
  </si>
  <si>
    <t>11/02/2025</t>
  </si>
  <si>
    <t>02/02/2025</t>
  </si>
  <si>
    <t>19/02/2025</t>
  </si>
  <si>
    <t>07/01/2025</t>
  </si>
  <si>
    <t>12/02/2025</t>
  </si>
  <si>
    <t>05/02/2025</t>
  </si>
  <si>
    <t>14/02/2025</t>
  </si>
  <si>
    <t>10/02/2025</t>
  </si>
  <si>
    <t>17/01/2025</t>
  </si>
  <si>
    <t>13/02/2025</t>
  </si>
  <si>
    <t>28/01/2025</t>
  </si>
  <si>
    <t>07/02/2025</t>
  </si>
  <si>
    <t>24/02/2025</t>
  </si>
  <si>
    <t>18/02/2025</t>
  </si>
  <si>
    <t>26/02/2025</t>
  </si>
  <si>
    <t>15/02/2025</t>
  </si>
  <si>
    <t>20/02/2025</t>
  </si>
  <si>
    <t>12/01/2025</t>
  </si>
  <si>
    <t>05/01/2025</t>
  </si>
  <si>
    <t>14/01/2025</t>
  </si>
  <si>
    <t>03/01/2025</t>
  </si>
  <si>
    <t>20/01/2025</t>
  </si>
  <si>
    <t>11/01/2025</t>
  </si>
  <si>
    <t>15/01/2025</t>
  </si>
  <si>
    <t>09/02/2025</t>
  </si>
  <si>
    <t>26/01/2025</t>
  </si>
  <si>
    <t>17/02/2025</t>
  </si>
  <si>
    <t>16/01/2025</t>
  </si>
  <si>
    <t>08/02/2025</t>
  </si>
  <si>
    <t>27/01/2025</t>
  </si>
  <si>
    <t>31/01/2025</t>
  </si>
  <si>
    <t>08/01/2025</t>
  </si>
  <si>
    <t>18/01/2025</t>
  </si>
  <si>
    <t>29/01/2025</t>
  </si>
  <si>
    <t>10/01/2025</t>
  </si>
  <si>
    <t>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</si>
</sst>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.00"/>
    <numFmt numFmtId="165" formatCode="&quot;R&quot;#,##0"/>
    <numFmt numFmtId="166" formatCode="#,##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&quot;R&quot;#,##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D720F-FA07-4839-A894-47AFB4D46B09}" name="Table1" displayName="Table1" ref="A1:P251" totalsRowShown="0">
  <autoFilter ref="A1:P251" xr:uid="{4FDD720F-FA07-4839-A894-47AFB4D46B09}">
    <filterColumn colId="10">
      <filters>
        <filter val="R1 009.39"/>
        <filter val="R1 009.55"/>
        <filter val="R1 038.13"/>
        <filter val="R1 038.29"/>
        <filter val="R1 052.24"/>
        <filter val="R1 070.83"/>
        <filter val="R1 079.60"/>
        <filter val="R1 101.66"/>
        <filter val="R1 108.50"/>
        <filter val="R1 125.39"/>
        <filter val="R1 146.73"/>
        <filter val="R1 162.40"/>
        <filter val="R1 197.00"/>
        <filter val="R1 204.74"/>
        <filter val="R1 211.90"/>
        <filter val="R1 216.78"/>
        <filter val="R1 229.94"/>
        <filter val="R1 251.92"/>
        <filter val="R1 252.86"/>
        <filter val="R1 265.27"/>
        <filter val="R1 274.70"/>
        <filter val="R1 299.58"/>
        <filter val="R1 303.00"/>
        <filter val="R1 305.87"/>
        <filter val="R1 312.22"/>
        <filter val="R1 317.36"/>
        <filter val="R1 332.51"/>
        <filter val="R1 339.14"/>
        <filter val="R1 341.75"/>
        <filter val="R1 354.08"/>
        <filter val="R1 377.36"/>
        <filter val="R1 377.39"/>
        <filter val="R1 384.75"/>
        <filter val="R1 405.42"/>
        <filter val="R1 413.88"/>
        <filter val="R1 496.62"/>
        <filter val="R1 500.84"/>
        <filter val="R1 611.16"/>
        <filter val="R1 637.88"/>
        <filter val="R1 649.12"/>
        <filter val="R1 663.43"/>
        <filter val="R1 699.02"/>
        <filter val="R1 701.96"/>
        <filter val="R1 736.91"/>
        <filter val="R1 846.04"/>
        <filter val="R1 862.54"/>
        <filter val="R1 864.72"/>
        <filter val="R1 901.16"/>
        <filter val="R1 943.17"/>
        <filter val="R1 973.43"/>
        <filter val="R1 995.16"/>
        <filter val="R170.97"/>
        <filter val="R185.77"/>
        <filter val="R2 007.96"/>
        <filter val="R2 009.45"/>
        <filter val="R2 051.19"/>
        <filter val="R2 064.04"/>
        <filter val="R2 066.86"/>
        <filter val="R2 083.62"/>
        <filter val="R2 093.58"/>
        <filter val="R2 104.61"/>
        <filter val="R2 142.82"/>
        <filter val="R2 285.69"/>
        <filter val="R2 314.56"/>
        <filter val="R2 345.72"/>
        <filter val="R2 423.46"/>
        <filter val="R2 464.56"/>
        <filter val="R2 585.55"/>
        <filter val="R2 586.84"/>
        <filter val="R2 754.09"/>
        <filter val="R2 877.92"/>
        <filter val="R2 937.54"/>
        <filter val="R2 977.13"/>
        <filter val="R2 999.76"/>
        <filter val="R201.75"/>
        <filter val="R202.33"/>
        <filter val="R223.60"/>
        <filter val="R232.61"/>
        <filter val="R236.37"/>
        <filter val="R240.32"/>
        <filter val="R248.32"/>
        <filter val="R265.31"/>
        <filter val="R275.48"/>
        <filter val="R3 189.69"/>
        <filter val="R3 278.07"/>
        <filter val="R3 335.96"/>
        <filter val="R3 337.12"/>
        <filter val="R3 511.53"/>
        <filter val="R3 545.46"/>
        <filter val="R3 563.12"/>
        <filter val="R3 622.35"/>
        <filter val="R3 626.44"/>
        <filter val="R3 647.06"/>
        <filter val="R3 668.25"/>
        <filter val="R332.97"/>
        <filter val="R336.33"/>
        <filter val="R339.64"/>
        <filter val="R357.71"/>
        <filter val="R388.72"/>
        <filter val="R396.36"/>
        <filter val="R4 196.70"/>
        <filter val="R4 316.04"/>
        <filter val="R4 455.95"/>
        <filter val="R4 652.28"/>
        <filter val="R4 673.25"/>
        <filter val="R4 701.36"/>
        <filter val="R430.33"/>
        <filter val="R431.12"/>
        <filter val="R435.98"/>
        <filter val="R446.44"/>
        <filter val="R449.46"/>
        <filter val="R465.64"/>
        <filter val="R5 144.40"/>
        <filter val="R5 773.88"/>
        <filter val="R5 837.64"/>
        <filter val="R5 962.92"/>
        <filter val="R523.00"/>
        <filter val="R546.08"/>
        <filter val="R554.83"/>
        <filter val="R564.70"/>
        <filter val="R584.94"/>
        <filter val="R591.20"/>
        <filter val="R591.26"/>
        <filter val="R6 088.23"/>
        <filter val="R6 282.86"/>
        <filter val="R6 508.70"/>
        <filter val="R6 519.33"/>
        <filter val="R6 646.95"/>
        <filter val="R6 677.06"/>
        <filter val="R602.69"/>
        <filter val="R610.21"/>
        <filter val="R615.52"/>
        <filter val="R623.56"/>
        <filter val="R627.93"/>
        <filter val="R653.63"/>
        <filter val="R661.72"/>
        <filter val="R698.05"/>
        <filter val="R7 146.65"/>
        <filter val="R7 377.50"/>
        <filter val="R720.48"/>
        <filter val="R724.65"/>
        <filter val="R731.58"/>
        <filter val="R731.91"/>
        <filter val="R750.91"/>
        <filter val="R764.40"/>
        <filter val="R770.62"/>
        <filter val="R793.26"/>
        <filter val="R803.38"/>
        <filter val="R835.78"/>
        <filter val="R843.53"/>
        <filter val="R845.94"/>
        <filter val="R848.38"/>
        <filter val="R852.11"/>
        <filter val="R857.34"/>
        <filter val="R893.66"/>
        <filter val="R895.27"/>
        <filter val="R902.16"/>
        <filter val="R906.64"/>
        <filter val="R921.84"/>
        <filter val="R927.86"/>
        <filter val="R934.91"/>
        <filter val="R951.35"/>
        <filter val="R974.66"/>
        <filter val="R975.95"/>
        <filter val="R997.31"/>
      </filters>
    </filterColumn>
  </autoFilter>
  <tableColumns count="16">
    <tableColumn id="1" xr3:uid="{8392B6D6-A279-49E2-9C50-64A2DE676575}" name="BookingID"/>
    <tableColumn id="2" xr3:uid="{C6E41F96-7F8B-41B7-AAAD-758AEF221CC3}" name="BookingDate"/>
    <tableColumn id="3" xr3:uid="{A66647E2-B3DA-40E2-B86E-8069E64F14E4}" name="Airline"/>
    <tableColumn id="4" xr3:uid="{3134F456-EE53-4270-A19F-1D1779F5EE5C}" name="Route"/>
    <tableColumn id="5" xr3:uid="{3797C4C0-5167-457B-A34E-889B322C700D}" name="Class"/>
    <tableColumn id="6" xr3:uid="{12F2C8B8-DF0E-4A47-B00F-63851DE943B2}" name="SalesChannel"/>
    <tableColumn id="7" xr3:uid="{F5B59693-1C53-4A0E-AA0E-AFCEFCF44005}" name="Region"/>
    <tableColumn id="8" xr3:uid="{598D8884-465D-47F9-9E76-3CC440B2CC0B}" name="TicketsSold"/>
    <tableColumn id="9" xr3:uid="{A50F341B-4AB8-4D0A-B6E2-552417C881D7}" name="TicketPrice" dataDxfId="2"/>
    <tableColumn id="10" xr3:uid="{16CDAA63-391F-436E-82DB-3803C1001D46}" name="Discount"/>
    <tableColumn id="18" xr3:uid="{EADB1856-2BF2-4FBE-B6E7-F470FA75A668}" name="TotalSales" dataDxfId="1"/>
    <tableColumn id="12" xr3:uid="{3841D8C3-E5A4-46CA-BF4C-9D9224393B01}" name="BaggageAddon"/>
    <tableColumn id="13" xr3:uid="{34A09760-27E4-4740-87F2-6151DE406C07}" name="SeatSelectionAddon"/>
    <tableColumn id="14" xr3:uid="{C740F28F-E37C-4DDC-B7C2-BFDE6EF6002F}" name="Revenue per Ticket" dataDxfId="0">
      <calculatedColumnFormula>Table1[[#This Row],[TotalSales]]/Table1[[#This Row],[TicketPrice]]*Table1[[#This Row],[TicketsSold]]</calculatedColumnFormula>
    </tableColumn>
    <tableColumn id="15" xr3:uid="{78626DCC-8B22-489D-AAEB-98EBFED69AD7}" name="Baggage Add-on Flag"/>
    <tableColumn id="16" xr3:uid="{91321C18-425F-4876-A381-DE2E88119EA7}" name="Seat Add-on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1C1B-96D7-4840-BBC6-DBBFF05D1851}">
  <dimension ref="A1:P251"/>
  <sheetViews>
    <sheetView tabSelected="1" workbookViewId="0">
      <selection activeCell="I1" sqref="I1:I1048576"/>
    </sheetView>
  </sheetViews>
  <sheetFormatPr defaultRowHeight="14.4" x14ac:dyDescent="0.3"/>
  <cols>
    <col min="1" max="1" width="11.77734375" customWidth="1"/>
    <col min="2" max="2" width="14" customWidth="1"/>
    <col min="6" max="6" width="15" customWidth="1"/>
    <col min="7" max="7" width="9" customWidth="1"/>
    <col min="8" max="8" width="13.109375" customWidth="1"/>
    <col min="9" max="9" width="12.6640625" style="5" customWidth="1"/>
    <col min="10" max="10" width="10.88671875" customWidth="1"/>
    <col min="11" max="11" width="15.109375" style="4" customWidth="1"/>
    <col min="12" max="12" width="15.5546875" customWidth="1"/>
    <col min="13" max="13" width="20.6640625" customWidth="1"/>
    <col min="14" max="14" width="19.77734375" customWidth="1"/>
    <col min="15" max="15" width="20.5546875" customWidth="1"/>
    <col min="16" max="16" width="17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>
        <v>5000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 s="1">
        <v>896</v>
      </c>
      <c r="J2">
        <v>0.1</v>
      </c>
      <c r="K2" s="1">
        <v>0</v>
      </c>
      <c r="L2" t="s">
        <v>22</v>
      </c>
      <c r="M2" t="s">
        <v>22</v>
      </c>
      <c r="N2" s="2">
        <f>Table1[[#This Row],[TotalSales]]/Table1[[#This Row],[TicketPrice]]*Table1[[#This Row],[TicketsSold]]</f>
        <v>0</v>
      </c>
      <c r="O2">
        <v>1</v>
      </c>
      <c r="P2">
        <v>1</v>
      </c>
    </row>
    <row r="3" spans="1:16" x14ac:dyDescent="0.3">
      <c r="A3">
        <v>5001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 t="s">
        <v>21</v>
      </c>
      <c r="H3">
        <v>1</v>
      </c>
      <c r="I3" s="5">
        <v>1332.51</v>
      </c>
      <c r="J3">
        <v>0</v>
      </c>
      <c r="K3" s="4">
        <v>1332.51</v>
      </c>
      <c r="L3" t="s">
        <v>22</v>
      </c>
      <c r="M3" t="s">
        <v>22</v>
      </c>
      <c r="N3" s="2">
        <f>Table1[[#This Row],[TotalSales]]/Table1[[#This Row],[TicketPrice]]*Table1[[#This Row],[TicketsSold]]</f>
        <v>1</v>
      </c>
      <c r="O3">
        <v>1</v>
      </c>
      <c r="P3">
        <v>1</v>
      </c>
    </row>
    <row r="4" spans="1:16" x14ac:dyDescent="0.3">
      <c r="A4">
        <v>5002</v>
      </c>
      <c r="B4" t="s">
        <v>27</v>
      </c>
      <c r="C4" t="s">
        <v>28</v>
      </c>
      <c r="D4" t="s">
        <v>18</v>
      </c>
      <c r="E4" t="s">
        <v>29</v>
      </c>
      <c r="F4" t="s">
        <v>26</v>
      </c>
      <c r="G4" t="s">
        <v>21</v>
      </c>
      <c r="H4">
        <v>1</v>
      </c>
      <c r="I4" s="5">
        <v>1377.39</v>
      </c>
      <c r="J4">
        <v>0</v>
      </c>
      <c r="K4" s="4">
        <v>1377.39</v>
      </c>
      <c r="L4" t="s">
        <v>30</v>
      </c>
      <c r="M4" t="s">
        <v>30</v>
      </c>
      <c r="N4" s="2">
        <f>Table1[[#This Row],[TotalSales]]/Table1[[#This Row],[TicketPrice]]*Table1[[#This Row],[TicketsSold]]</f>
        <v>1</v>
      </c>
      <c r="O4">
        <v>0</v>
      </c>
      <c r="P4">
        <v>0</v>
      </c>
    </row>
    <row r="5" spans="1:16" x14ac:dyDescent="0.3">
      <c r="A5">
        <v>5003</v>
      </c>
      <c r="B5" t="s">
        <v>31</v>
      </c>
      <c r="C5" t="s">
        <v>32</v>
      </c>
      <c r="D5" t="s">
        <v>33</v>
      </c>
      <c r="E5" t="s">
        <v>25</v>
      </c>
      <c r="F5" t="s">
        <v>34</v>
      </c>
      <c r="G5" t="s">
        <v>35</v>
      </c>
      <c r="H5">
        <v>2</v>
      </c>
      <c r="I5" s="5">
        <v>669.57</v>
      </c>
      <c r="J5">
        <v>0</v>
      </c>
      <c r="K5" s="4">
        <v>1339.14</v>
      </c>
      <c r="L5" t="s">
        <v>30</v>
      </c>
      <c r="M5" t="s">
        <v>30</v>
      </c>
      <c r="N5" s="2">
        <f>Table1[[#This Row],[TotalSales]]/Table1[[#This Row],[TicketPrice]]*Table1[[#This Row],[TicketsSold]]</f>
        <v>4</v>
      </c>
      <c r="O5">
        <v>0</v>
      </c>
      <c r="P5">
        <v>0</v>
      </c>
    </row>
    <row r="6" spans="1:16" x14ac:dyDescent="0.3">
      <c r="A6">
        <v>5004</v>
      </c>
      <c r="B6" t="s">
        <v>36</v>
      </c>
      <c r="C6" t="s">
        <v>28</v>
      </c>
      <c r="D6" t="s">
        <v>18</v>
      </c>
      <c r="E6" t="s">
        <v>29</v>
      </c>
      <c r="F6" t="s">
        <v>26</v>
      </c>
      <c r="G6" t="s">
        <v>35</v>
      </c>
      <c r="H6">
        <v>1</v>
      </c>
      <c r="I6" s="5">
        <v>584.94000000000005</v>
      </c>
      <c r="J6">
        <v>0</v>
      </c>
      <c r="K6" s="4">
        <v>584.94000000000005</v>
      </c>
      <c r="L6" t="s">
        <v>22</v>
      </c>
      <c r="M6" t="s">
        <v>30</v>
      </c>
      <c r="N6" s="2">
        <f>Table1[[#This Row],[TotalSales]]/Table1[[#This Row],[TicketPrice]]*Table1[[#This Row],[TicketsSold]]</f>
        <v>1</v>
      </c>
      <c r="O6">
        <v>1</v>
      </c>
      <c r="P6">
        <v>0</v>
      </c>
    </row>
    <row r="7" spans="1:16" x14ac:dyDescent="0.3">
      <c r="A7">
        <v>5005</v>
      </c>
      <c r="B7" t="s">
        <v>37</v>
      </c>
      <c r="C7" t="s">
        <v>28</v>
      </c>
      <c r="D7" t="s">
        <v>33</v>
      </c>
      <c r="E7" t="s">
        <v>29</v>
      </c>
      <c r="F7" t="s">
        <v>26</v>
      </c>
      <c r="G7" t="s">
        <v>21</v>
      </c>
      <c r="H7">
        <v>1</v>
      </c>
      <c r="I7" s="5">
        <v>1496.62</v>
      </c>
      <c r="J7">
        <v>0</v>
      </c>
      <c r="K7" s="4">
        <v>1496.62</v>
      </c>
      <c r="L7" t="s">
        <v>22</v>
      </c>
      <c r="M7" t="s">
        <v>30</v>
      </c>
      <c r="N7" s="2">
        <f>Table1[[#This Row],[TotalSales]]/Table1[[#This Row],[TicketPrice]]*Table1[[#This Row],[TicketsSold]]</f>
        <v>1</v>
      </c>
      <c r="O7">
        <v>1</v>
      </c>
      <c r="P7">
        <v>0</v>
      </c>
    </row>
    <row r="8" spans="1:16" x14ac:dyDescent="0.3">
      <c r="A8">
        <v>5006</v>
      </c>
      <c r="B8" t="s">
        <v>38</v>
      </c>
      <c r="C8" t="s">
        <v>32</v>
      </c>
      <c r="D8" t="s">
        <v>24</v>
      </c>
      <c r="E8" t="s">
        <v>19</v>
      </c>
      <c r="F8" t="s">
        <v>26</v>
      </c>
      <c r="G8" t="s">
        <v>21</v>
      </c>
      <c r="H8">
        <v>2</v>
      </c>
      <c r="I8" s="5">
        <v>1157.28</v>
      </c>
      <c r="J8">
        <v>0</v>
      </c>
      <c r="K8" s="4">
        <v>2314.56</v>
      </c>
      <c r="L8" t="s">
        <v>22</v>
      </c>
      <c r="M8" t="s">
        <v>22</v>
      </c>
      <c r="N8" s="2">
        <f>Table1[[#This Row],[TotalSales]]/Table1[[#This Row],[TicketPrice]]*Table1[[#This Row],[TicketsSold]]</f>
        <v>4</v>
      </c>
      <c r="O8">
        <v>1</v>
      </c>
      <c r="P8">
        <v>1</v>
      </c>
    </row>
    <row r="9" spans="1:16" x14ac:dyDescent="0.3">
      <c r="A9">
        <v>5007</v>
      </c>
      <c r="B9" t="s">
        <v>39</v>
      </c>
      <c r="C9" t="s">
        <v>32</v>
      </c>
      <c r="D9" t="s">
        <v>18</v>
      </c>
      <c r="E9" t="s">
        <v>25</v>
      </c>
      <c r="F9" t="s">
        <v>20</v>
      </c>
      <c r="G9" t="s">
        <v>40</v>
      </c>
      <c r="H9">
        <v>4</v>
      </c>
      <c r="I9" s="5">
        <v>269.89999999999998</v>
      </c>
      <c r="J9">
        <v>0</v>
      </c>
      <c r="K9" s="4">
        <v>1079.5999999999999</v>
      </c>
      <c r="L9" t="s">
        <v>30</v>
      </c>
      <c r="M9" t="s">
        <v>22</v>
      </c>
      <c r="N9" s="2">
        <f>Table1[[#This Row],[TotalSales]]/Table1[[#This Row],[TicketPrice]]*Table1[[#This Row],[TicketsSold]]</f>
        <v>16</v>
      </c>
      <c r="O9">
        <v>0</v>
      </c>
      <c r="P9">
        <v>1</v>
      </c>
    </row>
    <row r="10" spans="1:16" x14ac:dyDescent="0.3">
      <c r="A10">
        <v>5008</v>
      </c>
      <c r="B10" t="s">
        <v>41</v>
      </c>
      <c r="C10" t="s">
        <v>28</v>
      </c>
      <c r="D10" t="s">
        <v>18</v>
      </c>
      <c r="E10" t="s">
        <v>19</v>
      </c>
      <c r="F10" t="s">
        <v>26</v>
      </c>
      <c r="G10" t="s">
        <v>35</v>
      </c>
      <c r="H10">
        <v>2</v>
      </c>
      <c r="I10" s="5">
        <v>1438.96</v>
      </c>
      <c r="J10">
        <v>0</v>
      </c>
      <c r="K10" s="4">
        <v>2877.92</v>
      </c>
      <c r="L10" t="s">
        <v>30</v>
      </c>
      <c r="M10" t="s">
        <v>30</v>
      </c>
      <c r="N10" s="2">
        <f>Table1[[#This Row],[TotalSales]]/Table1[[#This Row],[TicketPrice]]*Table1[[#This Row],[TicketsSold]]</f>
        <v>4</v>
      </c>
      <c r="O10">
        <v>0</v>
      </c>
      <c r="P10">
        <v>0</v>
      </c>
    </row>
    <row r="11" spans="1:16" hidden="1" x14ac:dyDescent="0.3">
      <c r="A11">
        <v>5009</v>
      </c>
      <c r="B11" t="s">
        <v>42</v>
      </c>
      <c r="C11" t="s">
        <v>32</v>
      </c>
      <c r="D11" t="s">
        <v>43</v>
      </c>
      <c r="E11" t="s">
        <v>29</v>
      </c>
      <c r="F11" t="s">
        <v>34</v>
      </c>
      <c r="G11" t="s">
        <v>21</v>
      </c>
      <c r="H11">
        <v>0</v>
      </c>
      <c r="I11" s="3">
        <v>444.25</v>
      </c>
      <c r="J11">
        <v>0</v>
      </c>
      <c r="K11" s="1">
        <v>0</v>
      </c>
      <c r="L11" t="s">
        <v>22</v>
      </c>
      <c r="M11" t="s">
        <v>30</v>
      </c>
      <c r="N11" s="2">
        <f>Table1[[#This Row],[TotalSales]]/Table1[[#This Row],[TicketPrice]]*Table1[[#This Row],[TicketsSold]]</f>
        <v>0</v>
      </c>
      <c r="O11">
        <v>1</v>
      </c>
      <c r="P11">
        <v>0</v>
      </c>
    </row>
    <row r="12" spans="1:16" hidden="1" x14ac:dyDescent="0.3">
      <c r="A12">
        <v>5010</v>
      </c>
      <c r="B12" t="s">
        <v>44</v>
      </c>
      <c r="C12" t="s">
        <v>17</v>
      </c>
      <c r="D12" t="s">
        <v>45</v>
      </c>
      <c r="E12" t="s">
        <v>25</v>
      </c>
      <c r="F12" t="s">
        <v>34</v>
      </c>
      <c r="G12" t="s">
        <v>40</v>
      </c>
      <c r="H12">
        <v>0</v>
      </c>
      <c r="I12" s="3">
        <v>285</v>
      </c>
      <c r="J12">
        <v>0.05</v>
      </c>
      <c r="K12" s="1">
        <v>0</v>
      </c>
      <c r="L12" t="s">
        <v>30</v>
      </c>
      <c r="M12" t="s">
        <v>30</v>
      </c>
      <c r="N12" s="2">
        <f>Table1[[#This Row],[TotalSales]]/Table1[[#This Row],[TicketPrice]]*Table1[[#This Row],[TicketsSold]]</f>
        <v>0</v>
      </c>
      <c r="O12">
        <v>0</v>
      </c>
      <c r="P12">
        <v>0</v>
      </c>
    </row>
    <row r="13" spans="1:16" x14ac:dyDescent="0.3">
      <c r="A13">
        <v>5011</v>
      </c>
      <c r="B13" t="s">
        <v>16</v>
      </c>
      <c r="C13" t="s">
        <v>32</v>
      </c>
      <c r="D13" t="s">
        <v>46</v>
      </c>
      <c r="E13" t="s">
        <v>29</v>
      </c>
      <c r="F13" t="s">
        <v>20</v>
      </c>
      <c r="G13" t="s">
        <v>35</v>
      </c>
      <c r="H13">
        <v>2</v>
      </c>
      <c r="I13" s="5">
        <v>1211.73</v>
      </c>
      <c r="J13">
        <v>0</v>
      </c>
      <c r="K13" s="4">
        <v>2423.46</v>
      </c>
      <c r="L13" t="s">
        <v>22</v>
      </c>
      <c r="M13" t="s">
        <v>30</v>
      </c>
      <c r="N13" s="2">
        <f>Table1[[#This Row],[TotalSales]]/Table1[[#This Row],[TicketPrice]]*Table1[[#This Row],[TicketsSold]]</f>
        <v>4</v>
      </c>
      <c r="O13">
        <v>1</v>
      </c>
      <c r="P13">
        <v>0</v>
      </c>
    </row>
    <row r="14" spans="1:16" x14ac:dyDescent="0.3">
      <c r="A14">
        <v>5012</v>
      </c>
      <c r="B14" t="s">
        <v>47</v>
      </c>
      <c r="C14" t="s">
        <v>28</v>
      </c>
      <c r="D14" t="s">
        <v>24</v>
      </c>
      <c r="E14" t="s">
        <v>29</v>
      </c>
      <c r="F14" t="s">
        <v>20</v>
      </c>
      <c r="G14" t="s">
        <v>21</v>
      </c>
      <c r="H14">
        <v>5</v>
      </c>
      <c r="I14" s="5">
        <v>1352.94</v>
      </c>
      <c r="J14">
        <v>0.1</v>
      </c>
      <c r="K14" s="4">
        <v>6088.2300000000005</v>
      </c>
      <c r="L14" t="s">
        <v>22</v>
      </c>
      <c r="M14" t="s">
        <v>30</v>
      </c>
      <c r="N14" s="2">
        <f>Table1[[#This Row],[TotalSales]]/Table1[[#This Row],[TicketPrice]]*Table1[[#This Row],[TicketsSold]]</f>
        <v>22.5</v>
      </c>
      <c r="O14">
        <v>1</v>
      </c>
      <c r="P14">
        <v>0</v>
      </c>
    </row>
    <row r="15" spans="1:16" hidden="1" x14ac:dyDescent="0.3">
      <c r="A15">
        <v>5013</v>
      </c>
      <c r="B15" t="s">
        <v>48</v>
      </c>
      <c r="C15" t="s">
        <v>28</v>
      </c>
      <c r="D15" t="s">
        <v>45</v>
      </c>
      <c r="E15" t="s">
        <v>29</v>
      </c>
      <c r="F15" t="s">
        <v>20</v>
      </c>
      <c r="G15" t="s">
        <v>40</v>
      </c>
      <c r="H15">
        <v>0</v>
      </c>
      <c r="I15" s="3">
        <v>230.9</v>
      </c>
      <c r="J15">
        <v>0.05</v>
      </c>
      <c r="K15" s="1">
        <v>0</v>
      </c>
      <c r="L15" t="s">
        <v>22</v>
      </c>
      <c r="M15" t="s">
        <v>22</v>
      </c>
      <c r="N15" s="2">
        <f>Table1[[#This Row],[TotalSales]]/Table1[[#This Row],[TicketPrice]]*Table1[[#This Row],[TicketsSold]]</f>
        <v>0</v>
      </c>
      <c r="O15">
        <v>1</v>
      </c>
      <c r="P15">
        <v>1</v>
      </c>
    </row>
    <row r="16" spans="1:16" hidden="1" x14ac:dyDescent="0.3">
      <c r="A16">
        <v>5014</v>
      </c>
      <c r="B16" t="s">
        <v>49</v>
      </c>
      <c r="C16" t="s">
        <v>17</v>
      </c>
      <c r="D16" t="s">
        <v>24</v>
      </c>
      <c r="E16" t="s">
        <v>29</v>
      </c>
      <c r="F16" t="s">
        <v>26</v>
      </c>
      <c r="G16" t="s">
        <v>40</v>
      </c>
      <c r="H16">
        <v>0</v>
      </c>
      <c r="I16" s="3">
        <v>862</v>
      </c>
      <c r="J16">
        <v>0.05</v>
      </c>
      <c r="K16" s="1">
        <v>0</v>
      </c>
      <c r="L16" t="s">
        <v>30</v>
      </c>
      <c r="M16" t="s">
        <v>30</v>
      </c>
      <c r="N16" s="2">
        <f>Table1[[#This Row],[TotalSales]]/Table1[[#This Row],[TicketPrice]]*Table1[[#This Row],[TicketsSold]]</f>
        <v>0</v>
      </c>
      <c r="O16">
        <v>0</v>
      </c>
      <c r="P16">
        <v>0</v>
      </c>
    </row>
    <row r="17" spans="1:16" x14ac:dyDescent="0.3">
      <c r="A17">
        <v>5015</v>
      </c>
      <c r="B17" t="s">
        <v>50</v>
      </c>
      <c r="C17" t="s">
        <v>28</v>
      </c>
      <c r="D17" t="s">
        <v>18</v>
      </c>
      <c r="E17" t="s">
        <v>25</v>
      </c>
      <c r="F17" t="s">
        <v>34</v>
      </c>
      <c r="G17" t="s">
        <v>35</v>
      </c>
      <c r="H17">
        <v>3</v>
      </c>
      <c r="I17" s="5">
        <v>1279.67</v>
      </c>
      <c r="J17">
        <v>0.05</v>
      </c>
      <c r="K17" s="4">
        <v>3647.0594999999998</v>
      </c>
      <c r="L17" t="s">
        <v>22</v>
      </c>
      <c r="M17" t="s">
        <v>30</v>
      </c>
      <c r="N17" s="2">
        <f>Table1[[#This Row],[TotalSales]]/Table1[[#This Row],[TicketPrice]]*Table1[[#This Row],[TicketsSold]]</f>
        <v>8.5499999999999989</v>
      </c>
      <c r="O17">
        <v>1</v>
      </c>
      <c r="P17">
        <v>0</v>
      </c>
    </row>
    <row r="18" spans="1:16" x14ac:dyDescent="0.3">
      <c r="A18">
        <v>5016</v>
      </c>
      <c r="B18" t="s">
        <v>51</v>
      </c>
      <c r="C18" t="s">
        <v>28</v>
      </c>
      <c r="D18" t="s">
        <v>18</v>
      </c>
      <c r="E18" t="s">
        <v>29</v>
      </c>
      <c r="F18" t="s">
        <v>20</v>
      </c>
      <c r="G18" t="s">
        <v>35</v>
      </c>
      <c r="H18">
        <v>2</v>
      </c>
      <c r="I18" s="5">
        <v>614.97</v>
      </c>
      <c r="J18">
        <v>0</v>
      </c>
      <c r="K18" s="4">
        <v>1229.94</v>
      </c>
      <c r="L18" t="s">
        <v>30</v>
      </c>
      <c r="M18" t="s">
        <v>22</v>
      </c>
      <c r="N18" s="2">
        <f>Table1[[#This Row],[TotalSales]]/Table1[[#This Row],[TicketPrice]]*Table1[[#This Row],[TicketsSold]]</f>
        <v>4</v>
      </c>
      <c r="O18">
        <v>0</v>
      </c>
      <c r="P18">
        <v>1</v>
      </c>
    </row>
    <row r="19" spans="1:16" x14ac:dyDescent="0.3">
      <c r="A19">
        <v>5017</v>
      </c>
      <c r="B19" t="s">
        <v>52</v>
      </c>
      <c r="C19" t="s">
        <v>32</v>
      </c>
      <c r="D19" t="s">
        <v>46</v>
      </c>
      <c r="E19" t="s">
        <v>29</v>
      </c>
      <c r="F19" t="s">
        <v>34</v>
      </c>
      <c r="G19" t="s">
        <v>35</v>
      </c>
      <c r="H19">
        <v>5</v>
      </c>
      <c r="I19" s="5">
        <v>1301.74</v>
      </c>
      <c r="J19">
        <v>0</v>
      </c>
      <c r="K19" s="4">
        <v>6508.7</v>
      </c>
      <c r="L19" t="s">
        <v>30</v>
      </c>
      <c r="M19" t="s">
        <v>22</v>
      </c>
      <c r="N19" s="2">
        <f>Table1[[#This Row],[TotalSales]]/Table1[[#This Row],[TicketPrice]]*Table1[[#This Row],[TicketsSold]]</f>
        <v>25</v>
      </c>
      <c r="O19">
        <v>0</v>
      </c>
      <c r="P19">
        <v>1</v>
      </c>
    </row>
    <row r="20" spans="1:16" x14ac:dyDescent="0.3">
      <c r="A20">
        <v>5018</v>
      </c>
      <c r="B20" t="s">
        <v>53</v>
      </c>
      <c r="C20" t="s">
        <v>17</v>
      </c>
      <c r="D20" t="s">
        <v>18</v>
      </c>
      <c r="E20" t="s">
        <v>25</v>
      </c>
      <c r="F20" t="s">
        <v>34</v>
      </c>
      <c r="G20" t="s">
        <v>40</v>
      </c>
      <c r="H20">
        <v>1</v>
      </c>
      <c r="I20" s="5">
        <v>928.64</v>
      </c>
      <c r="J20">
        <v>0.1</v>
      </c>
      <c r="K20" s="4">
        <v>835.77599999999995</v>
      </c>
      <c r="L20" t="s">
        <v>22</v>
      </c>
      <c r="M20" t="s">
        <v>30</v>
      </c>
      <c r="N20" s="2">
        <f>Table1[[#This Row],[TotalSales]]/Table1[[#This Row],[TicketPrice]]*Table1[[#This Row],[TicketsSold]]</f>
        <v>0.89999999999999991</v>
      </c>
      <c r="O20">
        <v>1</v>
      </c>
      <c r="P20">
        <v>0</v>
      </c>
    </row>
    <row r="21" spans="1:16" x14ac:dyDescent="0.3">
      <c r="A21">
        <v>5019</v>
      </c>
      <c r="B21" t="s">
        <v>54</v>
      </c>
      <c r="C21" t="s">
        <v>17</v>
      </c>
      <c r="D21" t="s">
        <v>45</v>
      </c>
      <c r="E21" t="s">
        <v>19</v>
      </c>
      <c r="F21" t="s">
        <v>20</v>
      </c>
      <c r="G21" t="s">
        <v>35</v>
      </c>
      <c r="H21">
        <v>5</v>
      </c>
      <c r="I21" s="5">
        <v>1429.33</v>
      </c>
      <c r="J21">
        <v>0</v>
      </c>
      <c r="K21" s="4">
        <v>7146.65</v>
      </c>
      <c r="L21" t="s">
        <v>30</v>
      </c>
      <c r="M21" t="s">
        <v>30</v>
      </c>
      <c r="N21" s="2">
        <f>Table1[[#This Row],[TotalSales]]/Table1[[#This Row],[TicketPrice]]*Table1[[#This Row],[TicketsSold]]</f>
        <v>25</v>
      </c>
      <c r="O21">
        <v>0</v>
      </c>
      <c r="P21">
        <v>0</v>
      </c>
    </row>
    <row r="22" spans="1:16" hidden="1" x14ac:dyDescent="0.3">
      <c r="A22">
        <v>5020</v>
      </c>
      <c r="B22" t="s">
        <v>16</v>
      </c>
      <c r="C22" t="s">
        <v>32</v>
      </c>
      <c r="D22" t="s">
        <v>18</v>
      </c>
      <c r="E22" t="s">
        <v>29</v>
      </c>
      <c r="F22" t="s">
        <v>34</v>
      </c>
      <c r="G22" t="s">
        <v>35</v>
      </c>
      <c r="H22">
        <v>0</v>
      </c>
      <c r="I22" s="3">
        <v>179.01</v>
      </c>
      <c r="J22">
        <v>0.05</v>
      </c>
      <c r="K22" s="1">
        <v>0</v>
      </c>
      <c r="L22" t="s">
        <v>30</v>
      </c>
      <c r="M22" t="s">
        <v>30</v>
      </c>
      <c r="N22" s="2">
        <f>Table1[[#This Row],[TotalSales]]/Table1[[#This Row],[TicketPrice]]*Table1[[#This Row],[TicketsSold]]</f>
        <v>0</v>
      </c>
      <c r="O22">
        <v>0</v>
      </c>
      <c r="P22">
        <v>0</v>
      </c>
    </row>
    <row r="23" spans="1:16" x14ac:dyDescent="0.3">
      <c r="A23">
        <v>5021</v>
      </c>
      <c r="B23" t="s">
        <v>55</v>
      </c>
      <c r="C23" t="s">
        <v>32</v>
      </c>
      <c r="D23" t="s">
        <v>24</v>
      </c>
      <c r="E23" t="s">
        <v>29</v>
      </c>
      <c r="F23" t="s">
        <v>34</v>
      </c>
      <c r="G23" t="s">
        <v>40</v>
      </c>
      <c r="H23">
        <v>1</v>
      </c>
      <c r="I23" s="5">
        <v>1127.19</v>
      </c>
      <c r="J23">
        <v>0.05</v>
      </c>
      <c r="K23" s="4">
        <v>1070.8305</v>
      </c>
      <c r="L23" t="s">
        <v>22</v>
      </c>
      <c r="M23" t="s">
        <v>30</v>
      </c>
      <c r="N23" s="2">
        <f>Table1[[#This Row],[TotalSales]]/Table1[[#This Row],[TicketPrice]]*Table1[[#This Row],[TicketsSold]]</f>
        <v>0.95</v>
      </c>
      <c r="O23">
        <v>1</v>
      </c>
      <c r="P23">
        <v>0</v>
      </c>
    </row>
    <row r="24" spans="1:16" x14ac:dyDescent="0.3">
      <c r="A24">
        <v>5022</v>
      </c>
      <c r="B24" t="s">
        <v>56</v>
      </c>
      <c r="C24" t="s">
        <v>32</v>
      </c>
      <c r="D24" t="s">
        <v>46</v>
      </c>
      <c r="E24" t="s">
        <v>25</v>
      </c>
      <c r="F24" t="s">
        <v>34</v>
      </c>
      <c r="G24" t="s">
        <v>21</v>
      </c>
      <c r="H24">
        <v>1</v>
      </c>
      <c r="I24" s="5">
        <v>1049.8</v>
      </c>
      <c r="J24">
        <v>0.05</v>
      </c>
      <c r="K24" s="4">
        <v>997.31</v>
      </c>
      <c r="L24" t="s">
        <v>22</v>
      </c>
      <c r="M24" t="s">
        <v>30</v>
      </c>
      <c r="N24" s="2">
        <f>Table1[[#This Row],[TotalSales]]/Table1[[#This Row],[TicketPrice]]*Table1[[#This Row],[TicketsSold]]</f>
        <v>0.95</v>
      </c>
      <c r="O24">
        <v>1</v>
      </c>
      <c r="P24">
        <v>0</v>
      </c>
    </row>
    <row r="25" spans="1:16" x14ac:dyDescent="0.3">
      <c r="A25">
        <v>5023</v>
      </c>
      <c r="B25" t="s">
        <v>57</v>
      </c>
      <c r="C25" t="s">
        <v>32</v>
      </c>
      <c r="D25" t="s">
        <v>43</v>
      </c>
      <c r="E25" t="s">
        <v>29</v>
      </c>
      <c r="F25" t="s">
        <v>20</v>
      </c>
      <c r="G25" t="s">
        <v>35</v>
      </c>
      <c r="H25">
        <v>1</v>
      </c>
      <c r="I25" s="5">
        <v>848.38</v>
      </c>
      <c r="J25">
        <v>0</v>
      </c>
      <c r="K25" s="4">
        <v>848.38</v>
      </c>
      <c r="L25" t="s">
        <v>30</v>
      </c>
      <c r="M25" t="s">
        <v>30</v>
      </c>
      <c r="N25" s="2">
        <f>Table1[[#This Row],[TotalSales]]/Table1[[#This Row],[TicketPrice]]*Table1[[#This Row],[TicketsSold]]</f>
        <v>1</v>
      </c>
      <c r="O25">
        <v>0</v>
      </c>
      <c r="P25">
        <v>0</v>
      </c>
    </row>
    <row r="26" spans="1:16" x14ac:dyDescent="0.3">
      <c r="A26">
        <v>5024</v>
      </c>
      <c r="B26" t="s">
        <v>58</v>
      </c>
      <c r="C26" t="s">
        <v>32</v>
      </c>
      <c r="D26" t="s">
        <v>24</v>
      </c>
      <c r="E26" t="s">
        <v>29</v>
      </c>
      <c r="F26" t="s">
        <v>34</v>
      </c>
      <c r="G26" t="s">
        <v>35</v>
      </c>
      <c r="H26">
        <v>4</v>
      </c>
      <c r="I26" s="5">
        <v>906.61</v>
      </c>
      <c r="J26">
        <v>0</v>
      </c>
      <c r="K26" s="4">
        <v>3626.44</v>
      </c>
      <c r="L26" t="s">
        <v>30</v>
      </c>
      <c r="M26" t="s">
        <v>22</v>
      </c>
      <c r="N26" s="2">
        <f>Table1[[#This Row],[TotalSales]]/Table1[[#This Row],[TicketPrice]]*Table1[[#This Row],[TicketsSold]]</f>
        <v>16</v>
      </c>
      <c r="O26">
        <v>0</v>
      </c>
      <c r="P26">
        <v>1</v>
      </c>
    </row>
    <row r="27" spans="1:16" x14ac:dyDescent="0.3">
      <c r="A27">
        <v>5025</v>
      </c>
      <c r="B27" t="s">
        <v>38</v>
      </c>
      <c r="C27" t="s">
        <v>32</v>
      </c>
      <c r="D27" t="s">
        <v>45</v>
      </c>
      <c r="E27" t="s">
        <v>29</v>
      </c>
      <c r="F27" t="s">
        <v>26</v>
      </c>
      <c r="G27" t="s">
        <v>21</v>
      </c>
      <c r="H27">
        <v>2</v>
      </c>
      <c r="I27" s="5">
        <v>677.04</v>
      </c>
      <c r="J27">
        <v>0</v>
      </c>
      <c r="K27" s="4">
        <v>1354.08</v>
      </c>
      <c r="L27" t="s">
        <v>22</v>
      </c>
      <c r="M27" t="s">
        <v>30</v>
      </c>
      <c r="N27" s="2">
        <f>Table1[[#This Row],[TotalSales]]/Table1[[#This Row],[TicketPrice]]*Table1[[#This Row],[TicketsSold]]</f>
        <v>4</v>
      </c>
      <c r="O27">
        <v>1</v>
      </c>
      <c r="P27">
        <v>0</v>
      </c>
    </row>
    <row r="28" spans="1:16" x14ac:dyDescent="0.3">
      <c r="A28">
        <v>5026</v>
      </c>
      <c r="B28" t="s">
        <v>59</v>
      </c>
      <c r="C28" t="s">
        <v>17</v>
      </c>
      <c r="D28" t="s">
        <v>24</v>
      </c>
      <c r="E28" t="s">
        <v>29</v>
      </c>
      <c r="F28" t="s">
        <v>26</v>
      </c>
      <c r="G28" t="s">
        <v>21</v>
      </c>
      <c r="H28">
        <v>4</v>
      </c>
      <c r="I28" s="5">
        <v>539.77</v>
      </c>
      <c r="J28">
        <v>0.1</v>
      </c>
      <c r="K28" s="4">
        <v>1943.172</v>
      </c>
      <c r="L28" t="s">
        <v>30</v>
      </c>
      <c r="M28" t="s">
        <v>22</v>
      </c>
      <c r="N28" s="2">
        <f>Table1[[#This Row],[TotalSales]]/Table1[[#This Row],[TicketPrice]]*Table1[[#This Row],[TicketsSold]]</f>
        <v>14.4</v>
      </c>
      <c r="O28">
        <v>0</v>
      </c>
      <c r="P28">
        <v>1</v>
      </c>
    </row>
    <row r="29" spans="1:16" x14ac:dyDescent="0.3">
      <c r="A29">
        <v>5027</v>
      </c>
      <c r="B29" t="s">
        <v>60</v>
      </c>
      <c r="C29" t="s">
        <v>32</v>
      </c>
      <c r="D29" t="s">
        <v>43</v>
      </c>
      <c r="E29" t="s">
        <v>25</v>
      </c>
      <c r="F29" t="s">
        <v>26</v>
      </c>
      <c r="G29" t="s">
        <v>35</v>
      </c>
      <c r="H29">
        <v>2</v>
      </c>
      <c r="I29" s="5">
        <v>824.56</v>
      </c>
      <c r="J29">
        <v>0</v>
      </c>
      <c r="K29" s="4">
        <v>1649.12</v>
      </c>
      <c r="L29" t="s">
        <v>30</v>
      </c>
      <c r="M29" t="s">
        <v>22</v>
      </c>
      <c r="N29" s="2">
        <f>Table1[[#This Row],[TotalSales]]/Table1[[#This Row],[TicketPrice]]*Table1[[#This Row],[TicketsSold]]</f>
        <v>4</v>
      </c>
      <c r="O29">
        <v>0</v>
      </c>
      <c r="P29">
        <v>1</v>
      </c>
    </row>
    <row r="30" spans="1:16" x14ac:dyDescent="0.3">
      <c r="A30">
        <v>5028</v>
      </c>
      <c r="B30" t="s">
        <v>37</v>
      </c>
      <c r="C30" t="s">
        <v>32</v>
      </c>
      <c r="D30" t="s">
        <v>46</v>
      </c>
      <c r="E30" t="s">
        <v>29</v>
      </c>
      <c r="F30" t="s">
        <v>20</v>
      </c>
      <c r="G30" t="s">
        <v>21</v>
      </c>
      <c r="H30">
        <v>4</v>
      </c>
      <c r="I30" s="5">
        <v>288.37</v>
      </c>
      <c r="J30">
        <v>0.1</v>
      </c>
      <c r="K30" s="4">
        <v>1038.1320000000001</v>
      </c>
      <c r="L30" t="s">
        <v>22</v>
      </c>
      <c r="M30" t="s">
        <v>30</v>
      </c>
      <c r="N30" s="2">
        <f>Table1[[#This Row],[TotalSales]]/Table1[[#This Row],[TicketPrice]]*Table1[[#This Row],[TicketsSold]]</f>
        <v>14.4</v>
      </c>
      <c r="O30">
        <v>1</v>
      </c>
      <c r="P30">
        <v>0</v>
      </c>
    </row>
    <row r="31" spans="1:16" hidden="1" x14ac:dyDescent="0.3">
      <c r="A31">
        <v>5029</v>
      </c>
      <c r="B31" t="s">
        <v>57</v>
      </c>
      <c r="C31" t="s">
        <v>17</v>
      </c>
      <c r="D31" t="s">
        <v>33</v>
      </c>
      <c r="E31" t="s">
        <v>25</v>
      </c>
      <c r="F31" t="s">
        <v>26</v>
      </c>
      <c r="G31" t="s">
        <v>35</v>
      </c>
      <c r="H31">
        <v>0</v>
      </c>
      <c r="I31" s="3">
        <v>1264.99</v>
      </c>
      <c r="J31">
        <v>0</v>
      </c>
      <c r="K31" s="1">
        <v>0</v>
      </c>
      <c r="L31" t="s">
        <v>30</v>
      </c>
      <c r="M31" t="s">
        <v>22</v>
      </c>
      <c r="N31" s="2">
        <f>Table1[[#This Row],[TotalSales]]/Table1[[#This Row],[TicketPrice]]*Table1[[#This Row],[TicketsSold]]</f>
        <v>0</v>
      </c>
      <c r="O31">
        <v>0</v>
      </c>
      <c r="P31">
        <v>1</v>
      </c>
    </row>
    <row r="32" spans="1:16" x14ac:dyDescent="0.3">
      <c r="A32">
        <v>5030</v>
      </c>
      <c r="B32" t="s">
        <v>61</v>
      </c>
      <c r="C32" t="s">
        <v>32</v>
      </c>
      <c r="D32" t="s">
        <v>46</v>
      </c>
      <c r="E32" t="s">
        <v>29</v>
      </c>
      <c r="F32" t="s">
        <v>34</v>
      </c>
      <c r="G32" t="s">
        <v>21</v>
      </c>
      <c r="H32">
        <v>4</v>
      </c>
      <c r="I32" s="5">
        <v>344.34</v>
      </c>
      <c r="J32">
        <v>0</v>
      </c>
      <c r="K32" s="4">
        <v>1377.36</v>
      </c>
      <c r="L32" t="s">
        <v>30</v>
      </c>
      <c r="M32" t="s">
        <v>22</v>
      </c>
      <c r="N32" s="2">
        <f>Table1[[#This Row],[TotalSales]]/Table1[[#This Row],[TicketPrice]]*Table1[[#This Row],[TicketsSold]]</f>
        <v>16</v>
      </c>
      <c r="O32">
        <v>0</v>
      </c>
      <c r="P32">
        <v>1</v>
      </c>
    </row>
    <row r="33" spans="1:16" x14ac:dyDescent="0.3">
      <c r="A33">
        <v>5031</v>
      </c>
      <c r="B33" t="s">
        <v>62</v>
      </c>
      <c r="C33" t="s">
        <v>32</v>
      </c>
      <c r="D33" t="s">
        <v>45</v>
      </c>
      <c r="E33" t="s">
        <v>19</v>
      </c>
      <c r="F33" t="s">
        <v>34</v>
      </c>
      <c r="G33" t="s">
        <v>21</v>
      </c>
      <c r="H33">
        <v>4</v>
      </c>
      <c r="I33" s="5">
        <v>329.34</v>
      </c>
      <c r="J33">
        <v>0</v>
      </c>
      <c r="K33" s="4">
        <v>1317.36</v>
      </c>
      <c r="L33" t="s">
        <v>22</v>
      </c>
      <c r="M33" t="s">
        <v>22</v>
      </c>
      <c r="N33" s="2">
        <f>Table1[[#This Row],[TotalSales]]/Table1[[#This Row],[TicketPrice]]*Table1[[#This Row],[TicketsSold]]</f>
        <v>16</v>
      </c>
      <c r="O33">
        <v>1</v>
      </c>
      <c r="P33">
        <v>1</v>
      </c>
    </row>
    <row r="34" spans="1:16" x14ac:dyDescent="0.3">
      <c r="A34">
        <v>5032</v>
      </c>
      <c r="B34" t="s">
        <v>63</v>
      </c>
      <c r="C34" t="s">
        <v>32</v>
      </c>
      <c r="D34" t="s">
        <v>33</v>
      </c>
      <c r="E34" t="s">
        <v>19</v>
      </c>
      <c r="F34" t="s">
        <v>26</v>
      </c>
      <c r="G34" t="s">
        <v>21</v>
      </c>
      <c r="H34">
        <v>2</v>
      </c>
      <c r="I34" s="5">
        <v>1046.79</v>
      </c>
      <c r="J34">
        <v>0</v>
      </c>
      <c r="K34" s="4">
        <v>2093.58</v>
      </c>
      <c r="L34" t="s">
        <v>22</v>
      </c>
      <c r="M34" t="s">
        <v>30</v>
      </c>
      <c r="N34" s="2">
        <f>Table1[[#This Row],[TotalSales]]/Table1[[#This Row],[TicketPrice]]*Table1[[#This Row],[TicketsSold]]</f>
        <v>4</v>
      </c>
      <c r="O34">
        <v>1</v>
      </c>
      <c r="P34">
        <v>0</v>
      </c>
    </row>
    <row r="35" spans="1:16" x14ac:dyDescent="0.3">
      <c r="A35">
        <v>5033</v>
      </c>
      <c r="B35" t="s">
        <v>27</v>
      </c>
      <c r="C35" t="s">
        <v>28</v>
      </c>
      <c r="D35" t="s">
        <v>33</v>
      </c>
      <c r="E35" t="s">
        <v>29</v>
      </c>
      <c r="F35" t="s">
        <v>26</v>
      </c>
      <c r="G35" t="s">
        <v>21</v>
      </c>
      <c r="H35">
        <v>5</v>
      </c>
      <c r="I35" s="5">
        <v>1396.19</v>
      </c>
      <c r="J35">
        <v>0.1</v>
      </c>
      <c r="K35" s="4">
        <v>6282.8550000000005</v>
      </c>
      <c r="L35" t="s">
        <v>22</v>
      </c>
      <c r="M35" t="s">
        <v>22</v>
      </c>
      <c r="N35" s="2">
        <f>Table1[[#This Row],[TotalSales]]/Table1[[#This Row],[TicketPrice]]*Table1[[#This Row],[TicketsSold]]</f>
        <v>22.5</v>
      </c>
      <c r="O35">
        <v>1</v>
      </c>
      <c r="P35">
        <v>1</v>
      </c>
    </row>
    <row r="36" spans="1:16" x14ac:dyDescent="0.3">
      <c r="A36">
        <v>5034</v>
      </c>
      <c r="B36" t="s">
        <v>64</v>
      </c>
      <c r="C36" t="s">
        <v>32</v>
      </c>
      <c r="D36" t="s">
        <v>24</v>
      </c>
      <c r="E36" t="s">
        <v>25</v>
      </c>
      <c r="F36" t="s">
        <v>34</v>
      </c>
      <c r="G36" t="s">
        <v>40</v>
      </c>
      <c r="H36">
        <v>1</v>
      </c>
      <c r="I36" s="5">
        <v>1330</v>
      </c>
      <c r="J36">
        <v>0.1</v>
      </c>
      <c r="K36" s="4">
        <v>1197</v>
      </c>
      <c r="L36" t="s">
        <v>30</v>
      </c>
      <c r="M36" t="s">
        <v>30</v>
      </c>
      <c r="N36" s="2">
        <f>Table1[[#This Row],[TotalSales]]/Table1[[#This Row],[TicketPrice]]*Table1[[#This Row],[TicketsSold]]</f>
        <v>0.9</v>
      </c>
      <c r="O36">
        <v>0</v>
      </c>
      <c r="P36">
        <v>0</v>
      </c>
    </row>
    <row r="37" spans="1:16" hidden="1" x14ac:dyDescent="0.3">
      <c r="A37">
        <v>5035</v>
      </c>
      <c r="B37" t="s">
        <v>65</v>
      </c>
      <c r="C37" t="s">
        <v>32</v>
      </c>
      <c r="D37" t="s">
        <v>33</v>
      </c>
      <c r="E37" t="s">
        <v>29</v>
      </c>
      <c r="F37" t="s">
        <v>20</v>
      </c>
      <c r="G37" t="s">
        <v>21</v>
      </c>
      <c r="H37">
        <v>0</v>
      </c>
      <c r="I37" s="3">
        <v>569.38</v>
      </c>
      <c r="J37">
        <v>0</v>
      </c>
      <c r="K37" s="1">
        <v>0</v>
      </c>
      <c r="L37" t="s">
        <v>22</v>
      </c>
      <c r="M37" t="s">
        <v>30</v>
      </c>
      <c r="N37" s="2">
        <f>Table1[[#This Row],[TotalSales]]/Table1[[#This Row],[TicketPrice]]*Table1[[#This Row],[TicketsSold]]</f>
        <v>0</v>
      </c>
      <c r="O37">
        <v>1</v>
      </c>
      <c r="P37">
        <v>0</v>
      </c>
    </row>
    <row r="38" spans="1:16" hidden="1" x14ac:dyDescent="0.3">
      <c r="A38">
        <v>5036</v>
      </c>
      <c r="B38" t="s">
        <v>66</v>
      </c>
      <c r="C38" t="s">
        <v>32</v>
      </c>
      <c r="D38" t="s">
        <v>45</v>
      </c>
      <c r="E38" t="s">
        <v>29</v>
      </c>
      <c r="F38" t="s">
        <v>20</v>
      </c>
      <c r="G38" t="s">
        <v>35</v>
      </c>
      <c r="H38">
        <v>0</v>
      </c>
      <c r="I38" s="3">
        <v>1348.64</v>
      </c>
      <c r="J38">
        <v>0.05</v>
      </c>
      <c r="K38" s="1">
        <v>0</v>
      </c>
      <c r="L38" t="s">
        <v>30</v>
      </c>
      <c r="M38" t="s">
        <v>22</v>
      </c>
      <c r="N38" s="2">
        <f>Table1[[#This Row],[TotalSales]]/Table1[[#This Row],[TicketPrice]]*Table1[[#This Row],[TicketsSold]]</f>
        <v>0</v>
      </c>
      <c r="O38">
        <v>0</v>
      </c>
      <c r="P38">
        <v>1</v>
      </c>
    </row>
    <row r="39" spans="1:16" x14ac:dyDescent="0.3">
      <c r="A39">
        <v>5037</v>
      </c>
      <c r="B39" t="s">
        <v>67</v>
      </c>
      <c r="C39" t="s">
        <v>32</v>
      </c>
      <c r="D39" t="s">
        <v>43</v>
      </c>
      <c r="E39" t="s">
        <v>29</v>
      </c>
      <c r="F39" t="s">
        <v>26</v>
      </c>
      <c r="G39" t="s">
        <v>40</v>
      </c>
      <c r="H39">
        <v>2</v>
      </c>
      <c r="I39" s="5">
        <v>1499.88</v>
      </c>
      <c r="J39">
        <v>0</v>
      </c>
      <c r="K39" s="4">
        <v>2999.76</v>
      </c>
      <c r="L39" t="s">
        <v>30</v>
      </c>
      <c r="M39" t="s">
        <v>22</v>
      </c>
      <c r="N39" s="2">
        <f>Table1[[#This Row],[TotalSales]]/Table1[[#This Row],[TicketPrice]]*Table1[[#This Row],[TicketsSold]]</f>
        <v>4</v>
      </c>
      <c r="O39">
        <v>0</v>
      </c>
      <c r="P39">
        <v>1</v>
      </c>
    </row>
    <row r="40" spans="1:16" x14ac:dyDescent="0.3">
      <c r="A40">
        <v>5038</v>
      </c>
      <c r="B40" t="s">
        <v>55</v>
      </c>
      <c r="C40" t="s">
        <v>32</v>
      </c>
      <c r="D40" t="s">
        <v>33</v>
      </c>
      <c r="E40" t="s">
        <v>29</v>
      </c>
      <c r="F40" t="s">
        <v>20</v>
      </c>
      <c r="G40" t="s">
        <v>40</v>
      </c>
      <c r="H40">
        <v>2</v>
      </c>
      <c r="I40" s="5">
        <v>248.02</v>
      </c>
      <c r="J40">
        <v>0.1</v>
      </c>
      <c r="K40" s="4">
        <v>446.43600000000004</v>
      </c>
      <c r="L40" t="s">
        <v>22</v>
      </c>
      <c r="M40" t="s">
        <v>22</v>
      </c>
      <c r="N40" s="2">
        <f>Table1[[#This Row],[TotalSales]]/Table1[[#This Row],[TicketPrice]]*Table1[[#This Row],[TicketsSold]]</f>
        <v>3.6</v>
      </c>
      <c r="O40">
        <v>1</v>
      </c>
      <c r="P40">
        <v>1</v>
      </c>
    </row>
    <row r="41" spans="1:16" x14ac:dyDescent="0.3">
      <c r="A41">
        <v>5039</v>
      </c>
      <c r="B41" t="s">
        <v>53</v>
      </c>
      <c r="C41" t="s">
        <v>17</v>
      </c>
      <c r="D41" t="s">
        <v>33</v>
      </c>
      <c r="E41" t="s">
        <v>25</v>
      </c>
      <c r="F41" t="s">
        <v>34</v>
      </c>
      <c r="G41" t="s">
        <v>21</v>
      </c>
      <c r="H41">
        <v>1</v>
      </c>
      <c r="I41" s="5">
        <v>974.66</v>
      </c>
      <c r="J41">
        <v>0</v>
      </c>
      <c r="K41" s="4">
        <v>974.66</v>
      </c>
      <c r="L41" t="s">
        <v>30</v>
      </c>
      <c r="M41" t="s">
        <v>30</v>
      </c>
      <c r="N41" s="2">
        <f>Table1[[#This Row],[TotalSales]]/Table1[[#This Row],[TicketPrice]]*Table1[[#This Row],[TicketsSold]]</f>
        <v>1</v>
      </c>
      <c r="O41">
        <v>0</v>
      </c>
      <c r="P41">
        <v>0</v>
      </c>
    </row>
    <row r="42" spans="1:16" x14ac:dyDescent="0.3">
      <c r="A42">
        <v>5040</v>
      </c>
      <c r="B42" t="s">
        <v>68</v>
      </c>
      <c r="C42" t="s">
        <v>32</v>
      </c>
      <c r="D42" t="s">
        <v>45</v>
      </c>
      <c r="E42" t="s">
        <v>19</v>
      </c>
      <c r="F42" t="s">
        <v>26</v>
      </c>
      <c r="G42" t="s">
        <v>35</v>
      </c>
      <c r="H42">
        <v>2</v>
      </c>
      <c r="I42" s="5">
        <v>1234.5899999999999</v>
      </c>
      <c r="J42">
        <v>0.05</v>
      </c>
      <c r="K42" s="4">
        <v>2345.7209999999995</v>
      </c>
      <c r="L42" t="s">
        <v>22</v>
      </c>
      <c r="M42" t="s">
        <v>22</v>
      </c>
      <c r="N42" s="2">
        <f>Table1[[#This Row],[TotalSales]]/Table1[[#This Row],[TicketPrice]]*Table1[[#This Row],[TicketsSold]]</f>
        <v>3.7999999999999994</v>
      </c>
      <c r="O42">
        <v>1</v>
      </c>
      <c r="P42">
        <v>1</v>
      </c>
    </row>
    <row r="43" spans="1:16" x14ac:dyDescent="0.3">
      <c r="A43">
        <v>5041</v>
      </c>
      <c r="B43" t="s">
        <v>44</v>
      </c>
      <c r="C43" t="s">
        <v>17</v>
      </c>
      <c r="D43" t="s">
        <v>46</v>
      </c>
      <c r="E43" t="s">
        <v>29</v>
      </c>
      <c r="F43" t="s">
        <v>34</v>
      </c>
      <c r="G43" t="s">
        <v>40</v>
      </c>
      <c r="H43">
        <v>1</v>
      </c>
      <c r="I43" s="5">
        <v>1211.9000000000001</v>
      </c>
      <c r="J43">
        <v>0</v>
      </c>
      <c r="K43" s="4">
        <v>1211.9000000000001</v>
      </c>
      <c r="L43" t="s">
        <v>30</v>
      </c>
      <c r="M43" t="s">
        <v>22</v>
      </c>
      <c r="N43" s="2">
        <f>Table1[[#This Row],[TotalSales]]/Table1[[#This Row],[TicketPrice]]*Table1[[#This Row],[TicketsSold]]</f>
        <v>1</v>
      </c>
      <c r="O43">
        <v>0</v>
      </c>
      <c r="P43">
        <v>1</v>
      </c>
    </row>
    <row r="44" spans="1:16" x14ac:dyDescent="0.3">
      <c r="A44">
        <v>5042</v>
      </c>
      <c r="B44" t="s">
        <v>66</v>
      </c>
      <c r="C44" t="s">
        <v>28</v>
      </c>
      <c r="D44" t="s">
        <v>43</v>
      </c>
      <c r="E44" t="s">
        <v>29</v>
      </c>
      <c r="F44" t="s">
        <v>20</v>
      </c>
      <c r="G44" t="s">
        <v>40</v>
      </c>
      <c r="H44">
        <v>5</v>
      </c>
      <c r="I44" s="5">
        <v>1038.5</v>
      </c>
      <c r="J44">
        <v>0.1</v>
      </c>
      <c r="K44" s="4">
        <v>4673.25</v>
      </c>
      <c r="L44" t="s">
        <v>30</v>
      </c>
      <c r="M44" t="s">
        <v>22</v>
      </c>
      <c r="N44" s="2">
        <f>Table1[[#This Row],[TotalSales]]/Table1[[#This Row],[TicketPrice]]*Table1[[#This Row],[TicketsSold]]</f>
        <v>22.5</v>
      </c>
      <c r="O44">
        <v>0</v>
      </c>
      <c r="P44">
        <v>1</v>
      </c>
    </row>
    <row r="45" spans="1:16" hidden="1" x14ac:dyDescent="0.3">
      <c r="A45">
        <v>5043</v>
      </c>
      <c r="B45" t="s">
        <v>69</v>
      </c>
      <c r="C45" t="s">
        <v>32</v>
      </c>
      <c r="D45" t="s">
        <v>46</v>
      </c>
      <c r="E45" t="s">
        <v>29</v>
      </c>
      <c r="F45" t="s">
        <v>34</v>
      </c>
      <c r="G45" t="s">
        <v>21</v>
      </c>
      <c r="H45">
        <v>0</v>
      </c>
      <c r="I45" s="3">
        <v>185.33</v>
      </c>
      <c r="J45">
        <v>0.05</v>
      </c>
      <c r="K45" s="1">
        <v>0</v>
      </c>
      <c r="L45" t="s">
        <v>22</v>
      </c>
      <c r="M45" t="s">
        <v>30</v>
      </c>
      <c r="N45" s="2">
        <f>Table1[[#This Row],[TotalSales]]/Table1[[#This Row],[TicketPrice]]*Table1[[#This Row],[TicketsSold]]</f>
        <v>0</v>
      </c>
      <c r="O45">
        <v>1</v>
      </c>
      <c r="P45">
        <v>0</v>
      </c>
    </row>
    <row r="46" spans="1:16" x14ac:dyDescent="0.3">
      <c r="A46">
        <v>5044</v>
      </c>
      <c r="B46" t="s">
        <v>70</v>
      </c>
      <c r="C46" t="s">
        <v>32</v>
      </c>
      <c r="D46" t="s">
        <v>46</v>
      </c>
      <c r="E46" t="s">
        <v>19</v>
      </c>
      <c r="F46" t="s">
        <v>34</v>
      </c>
      <c r="G46" t="s">
        <v>40</v>
      </c>
      <c r="H46">
        <v>1</v>
      </c>
      <c r="I46" s="5">
        <v>726.26</v>
      </c>
      <c r="J46">
        <v>0.1</v>
      </c>
      <c r="K46" s="4">
        <v>653.63400000000001</v>
      </c>
      <c r="L46" t="s">
        <v>22</v>
      </c>
      <c r="M46" t="s">
        <v>22</v>
      </c>
      <c r="N46" s="2">
        <f>Table1[[#This Row],[TotalSales]]/Table1[[#This Row],[TicketPrice]]*Table1[[#This Row],[TicketsSold]]</f>
        <v>0.9</v>
      </c>
      <c r="O46">
        <v>1</v>
      </c>
      <c r="P46">
        <v>1</v>
      </c>
    </row>
    <row r="47" spans="1:16" x14ac:dyDescent="0.3">
      <c r="A47">
        <v>5045</v>
      </c>
      <c r="B47" t="s">
        <v>68</v>
      </c>
      <c r="C47" t="s">
        <v>32</v>
      </c>
      <c r="D47" t="s">
        <v>45</v>
      </c>
      <c r="E47" t="s">
        <v>29</v>
      </c>
      <c r="F47" t="s">
        <v>26</v>
      </c>
      <c r="G47" t="s">
        <v>35</v>
      </c>
      <c r="H47">
        <v>2</v>
      </c>
      <c r="I47" s="5">
        <v>1033.43</v>
      </c>
      <c r="J47">
        <v>0</v>
      </c>
      <c r="K47" s="4">
        <v>2066.86</v>
      </c>
      <c r="L47" t="s">
        <v>30</v>
      </c>
      <c r="M47" t="s">
        <v>22</v>
      </c>
      <c r="N47" s="2">
        <f>Table1[[#This Row],[TotalSales]]/Table1[[#This Row],[TicketPrice]]*Table1[[#This Row],[TicketsSold]]</f>
        <v>4</v>
      </c>
      <c r="O47">
        <v>0</v>
      </c>
      <c r="P47">
        <v>1</v>
      </c>
    </row>
    <row r="48" spans="1:16" hidden="1" x14ac:dyDescent="0.3">
      <c r="A48">
        <v>5046</v>
      </c>
      <c r="B48" t="s">
        <v>41</v>
      </c>
      <c r="C48" t="s">
        <v>32</v>
      </c>
      <c r="D48" t="s">
        <v>45</v>
      </c>
      <c r="E48" t="s">
        <v>29</v>
      </c>
      <c r="F48" t="s">
        <v>26</v>
      </c>
      <c r="G48" t="s">
        <v>40</v>
      </c>
      <c r="H48">
        <v>0</v>
      </c>
      <c r="I48" s="3">
        <v>483.21</v>
      </c>
      <c r="K48" s="1">
        <v>0</v>
      </c>
      <c r="L48" t="s">
        <v>22</v>
      </c>
      <c r="M48" t="s">
        <v>22</v>
      </c>
      <c r="N48" s="2">
        <f>Table1[[#This Row],[TotalSales]]/Table1[[#This Row],[TicketPrice]]*Table1[[#This Row],[TicketsSold]]</f>
        <v>0</v>
      </c>
      <c r="O48">
        <v>1</v>
      </c>
      <c r="P48">
        <v>1</v>
      </c>
    </row>
    <row r="49" spans="1:16" hidden="1" x14ac:dyDescent="0.3">
      <c r="A49">
        <v>5047</v>
      </c>
      <c r="B49" t="s">
        <v>71</v>
      </c>
      <c r="C49" t="s">
        <v>32</v>
      </c>
      <c r="D49" t="s">
        <v>24</v>
      </c>
      <c r="E49" t="s">
        <v>29</v>
      </c>
      <c r="F49" t="s">
        <v>34</v>
      </c>
      <c r="G49" t="s">
        <v>21</v>
      </c>
      <c r="H49">
        <v>0</v>
      </c>
      <c r="I49" s="3">
        <v>1221.99</v>
      </c>
      <c r="K49" s="1">
        <v>0</v>
      </c>
      <c r="L49" t="s">
        <v>22</v>
      </c>
      <c r="M49" t="s">
        <v>30</v>
      </c>
      <c r="N49" s="2">
        <f>Table1[[#This Row],[TotalSales]]/Table1[[#This Row],[TicketPrice]]*Table1[[#This Row],[TicketsSold]]</f>
        <v>0</v>
      </c>
      <c r="O49">
        <v>1</v>
      </c>
      <c r="P49">
        <v>0</v>
      </c>
    </row>
    <row r="50" spans="1:16" x14ac:dyDescent="0.3">
      <c r="A50">
        <v>5048</v>
      </c>
      <c r="B50" t="s">
        <v>56</v>
      </c>
      <c r="C50" t="s">
        <v>28</v>
      </c>
      <c r="D50" t="s">
        <v>33</v>
      </c>
      <c r="E50" t="s">
        <v>25</v>
      </c>
      <c r="F50" t="s">
        <v>34</v>
      </c>
      <c r="G50" t="s">
        <v>40</v>
      </c>
      <c r="H50">
        <v>2</v>
      </c>
      <c r="I50" s="5">
        <v>637.35</v>
      </c>
      <c r="J50">
        <v>0</v>
      </c>
      <c r="K50" s="4">
        <v>1274.7</v>
      </c>
      <c r="L50" t="s">
        <v>30</v>
      </c>
      <c r="M50" t="s">
        <v>30</v>
      </c>
      <c r="N50" s="2">
        <f>Table1[[#This Row],[TotalSales]]/Table1[[#This Row],[TicketPrice]]*Table1[[#This Row],[TicketsSold]]</f>
        <v>4</v>
      </c>
      <c r="O50">
        <v>0</v>
      </c>
      <c r="P50">
        <v>0</v>
      </c>
    </row>
    <row r="51" spans="1:16" x14ac:dyDescent="0.3">
      <c r="A51">
        <v>5049</v>
      </c>
      <c r="B51" t="s">
        <v>72</v>
      </c>
      <c r="C51" t="s">
        <v>28</v>
      </c>
      <c r="D51" t="s">
        <v>43</v>
      </c>
      <c r="E51" t="s">
        <v>29</v>
      </c>
      <c r="F51" t="s">
        <v>26</v>
      </c>
      <c r="G51" t="s">
        <v>21</v>
      </c>
      <c r="H51">
        <v>2</v>
      </c>
      <c r="I51" s="5">
        <v>818.94</v>
      </c>
      <c r="J51">
        <v>0</v>
      </c>
      <c r="K51" s="4">
        <v>1637.88</v>
      </c>
      <c r="L51" t="s">
        <v>30</v>
      </c>
      <c r="M51" t="s">
        <v>22</v>
      </c>
      <c r="N51" s="2">
        <f>Table1[[#This Row],[TotalSales]]/Table1[[#This Row],[TicketPrice]]*Table1[[#This Row],[TicketsSold]]</f>
        <v>4</v>
      </c>
      <c r="O51">
        <v>0</v>
      </c>
      <c r="P51">
        <v>1</v>
      </c>
    </row>
    <row r="52" spans="1:16" hidden="1" x14ac:dyDescent="0.3">
      <c r="A52">
        <v>5050</v>
      </c>
      <c r="B52" t="s">
        <v>73</v>
      </c>
      <c r="C52" t="s">
        <v>28</v>
      </c>
      <c r="D52" t="s">
        <v>46</v>
      </c>
      <c r="E52" t="s">
        <v>25</v>
      </c>
      <c r="F52" t="s">
        <v>20</v>
      </c>
      <c r="G52" t="s">
        <v>35</v>
      </c>
      <c r="H52">
        <v>0</v>
      </c>
      <c r="I52" s="3">
        <v>783.63</v>
      </c>
      <c r="J52">
        <v>0.05</v>
      </c>
      <c r="K52" s="1">
        <v>0</v>
      </c>
      <c r="L52" t="s">
        <v>22</v>
      </c>
      <c r="M52" t="s">
        <v>22</v>
      </c>
      <c r="N52" s="2">
        <f>Table1[[#This Row],[TotalSales]]/Table1[[#This Row],[TicketPrice]]*Table1[[#This Row],[TicketsSold]]</f>
        <v>0</v>
      </c>
      <c r="O52">
        <v>1</v>
      </c>
      <c r="P52">
        <v>1</v>
      </c>
    </row>
    <row r="53" spans="1:16" hidden="1" x14ac:dyDescent="0.3">
      <c r="A53">
        <v>5051</v>
      </c>
      <c r="B53" t="s">
        <v>65</v>
      </c>
      <c r="C53" t="s">
        <v>28</v>
      </c>
      <c r="D53" t="s">
        <v>43</v>
      </c>
      <c r="E53" t="s">
        <v>29</v>
      </c>
      <c r="F53" t="s">
        <v>20</v>
      </c>
      <c r="G53" t="s">
        <v>21</v>
      </c>
      <c r="H53">
        <v>0</v>
      </c>
      <c r="I53" s="3">
        <v>350.79</v>
      </c>
      <c r="K53" s="1">
        <v>0</v>
      </c>
      <c r="L53" t="s">
        <v>22</v>
      </c>
      <c r="M53" t="s">
        <v>22</v>
      </c>
      <c r="N53" s="2">
        <f>Table1[[#This Row],[TotalSales]]/Table1[[#This Row],[TicketPrice]]*Table1[[#This Row],[TicketsSold]]</f>
        <v>0</v>
      </c>
      <c r="O53">
        <v>1</v>
      </c>
      <c r="P53">
        <v>1</v>
      </c>
    </row>
    <row r="54" spans="1:16" hidden="1" x14ac:dyDescent="0.3">
      <c r="A54">
        <v>5052</v>
      </c>
      <c r="B54" t="s">
        <v>60</v>
      </c>
      <c r="C54" t="s">
        <v>32</v>
      </c>
      <c r="D54" t="s">
        <v>46</v>
      </c>
      <c r="E54" t="s">
        <v>29</v>
      </c>
      <c r="F54" t="s">
        <v>34</v>
      </c>
      <c r="G54" t="s">
        <v>21</v>
      </c>
      <c r="H54">
        <v>0</v>
      </c>
      <c r="I54" s="3">
        <v>816.8</v>
      </c>
      <c r="K54" s="1">
        <v>0</v>
      </c>
      <c r="L54" t="s">
        <v>22</v>
      </c>
      <c r="M54" t="s">
        <v>22</v>
      </c>
      <c r="N54" s="2">
        <f>Table1[[#This Row],[TotalSales]]/Table1[[#This Row],[TicketPrice]]*Table1[[#This Row],[TicketsSold]]</f>
        <v>0</v>
      </c>
      <c r="O54">
        <v>1</v>
      </c>
      <c r="P54">
        <v>1</v>
      </c>
    </row>
    <row r="55" spans="1:16" x14ac:dyDescent="0.3">
      <c r="A55">
        <v>5053</v>
      </c>
      <c r="B55" t="s">
        <v>69</v>
      </c>
      <c r="C55" t="s">
        <v>28</v>
      </c>
      <c r="D55" t="s">
        <v>46</v>
      </c>
      <c r="E55" t="s">
        <v>25</v>
      </c>
      <c r="F55" t="s">
        <v>26</v>
      </c>
      <c r="G55" t="s">
        <v>35</v>
      </c>
      <c r="H55">
        <v>1</v>
      </c>
      <c r="I55" s="5">
        <v>731.91</v>
      </c>
      <c r="J55">
        <v>0</v>
      </c>
      <c r="K55" s="4">
        <v>731.91</v>
      </c>
      <c r="L55" t="s">
        <v>22</v>
      </c>
      <c r="M55" t="s">
        <v>22</v>
      </c>
      <c r="N55" s="2">
        <f>Table1[[#This Row],[TotalSales]]/Table1[[#This Row],[TicketPrice]]*Table1[[#This Row],[TicketsSold]]</f>
        <v>1</v>
      </c>
      <c r="O55">
        <v>1</v>
      </c>
      <c r="P55">
        <v>1</v>
      </c>
    </row>
    <row r="56" spans="1:16" hidden="1" x14ac:dyDescent="0.3">
      <c r="A56">
        <v>5054</v>
      </c>
      <c r="B56" t="s">
        <v>74</v>
      </c>
      <c r="C56" t="s">
        <v>17</v>
      </c>
      <c r="D56" t="s">
        <v>33</v>
      </c>
      <c r="E56" t="s">
        <v>25</v>
      </c>
      <c r="F56" t="s">
        <v>26</v>
      </c>
      <c r="G56" t="s">
        <v>35</v>
      </c>
      <c r="H56">
        <v>0</v>
      </c>
      <c r="I56" s="3">
        <v>442.32</v>
      </c>
      <c r="J56">
        <v>0.05</v>
      </c>
      <c r="K56" s="1">
        <v>0</v>
      </c>
      <c r="L56" t="s">
        <v>22</v>
      </c>
      <c r="M56" t="s">
        <v>30</v>
      </c>
      <c r="N56" s="2">
        <f>Table1[[#This Row],[TotalSales]]/Table1[[#This Row],[TicketPrice]]*Table1[[#This Row],[TicketsSold]]</f>
        <v>0</v>
      </c>
      <c r="O56">
        <v>1</v>
      </c>
      <c r="P56">
        <v>0</v>
      </c>
    </row>
    <row r="57" spans="1:16" hidden="1" x14ac:dyDescent="0.3">
      <c r="A57">
        <v>5055</v>
      </c>
      <c r="B57" t="s">
        <v>49</v>
      </c>
      <c r="C57" t="s">
        <v>28</v>
      </c>
      <c r="D57" t="s">
        <v>46</v>
      </c>
      <c r="E57" t="s">
        <v>29</v>
      </c>
      <c r="F57" t="s">
        <v>20</v>
      </c>
      <c r="G57" t="s">
        <v>21</v>
      </c>
      <c r="H57">
        <v>0</v>
      </c>
      <c r="I57" s="3">
        <v>548.85</v>
      </c>
      <c r="J57">
        <v>0</v>
      </c>
      <c r="K57" s="1">
        <v>0</v>
      </c>
      <c r="L57" t="s">
        <v>30</v>
      </c>
      <c r="M57" t="s">
        <v>22</v>
      </c>
      <c r="N57" s="2">
        <f>Table1[[#This Row],[TotalSales]]/Table1[[#This Row],[TicketPrice]]*Table1[[#This Row],[TicketsSold]]</f>
        <v>0</v>
      </c>
      <c r="O57">
        <v>0</v>
      </c>
      <c r="P57">
        <v>1</v>
      </c>
    </row>
    <row r="58" spans="1:16" hidden="1" x14ac:dyDescent="0.3">
      <c r="A58">
        <v>5056</v>
      </c>
      <c r="B58" t="s">
        <v>75</v>
      </c>
      <c r="C58" t="s">
        <v>32</v>
      </c>
      <c r="D58" t="s">
        <v>18</v>
      </c>
      <c r="E58" t="s">
        <v>29</v>
      </c>
      <c r="F58" t="s">
        <v>34</v>
      </c>
      <c r="G58" t="s">
        <v>21</v>
      </c>
      <c r="H58">
        <v>0</v>
      </c>
      <c r="I58" s="3">
        <v>700.2</v>
      </c>
      <c r="K58" s="1">
        <v>0</v>
      </c>
      <c r="L58" t="s">
        <v>22</v>
      </c>
      <c r="M58" t="s">
        <v>22</v>
      </c>
      <c r="N58" s="2">
        <f>Table1[[#This Row],[TotalSales]]/Table1[[#This Row],[TicketPrice]]*Table1[[#This Row],[TicketsSold]]</f>
        <v>0</v>
      </c>
      <c r="O58">
        <v>1</v>
      </c>
      <c r="P58">
        <v>1</v>
      </c>
    </row>
    <row r="59" spans="1:16" x14ac:dyDescent="0.3">
      <c r="A59">
        <v>5057</v>
      </c>
      <c r="B59" t="s">
        <v>76</v>
      </c>
      <c r="C59" t="s">
        <v>17</v>
      </c>
      <c r="D59" t="s">
        <v>45</v>
      </c>
      <c r="E59" t="s">
        <v>25</v>
      </c>
      <c r="F59" t="s">
        <v>34</v>
      </c>
      <c r="G59" t="s">
        <v>35</v>
      </c>
      <c r="H59">
        <v>1</v>
      </c>
      <c r="I59" s="5">
        <v>615.52</v>
      </c>
      <c r="J59">
        <v>0</v>
      </c>
      <c r="K59" s="4">
        <v>615.52</v>
      </c>
      <c r="L59" t="s">
        <v>22</v>
      </c>
      <c r="M59" t="s">
        <v>22</v>
      </c>
      <c r="N59" s="2">
        <f>Table1[[#This Row],[TotalSales]]/Table1[[#This Row],[TicketPrice]]*Table1[[#This Row],[TicketsSold]]</f>
        <v>1</v>
      </c>
      <c r="O59">
        <v>1</v>
      </c>
      <c r="P59">
        <v>1</v>
      </c>
    </row>
    <row r="60" spans="1:16" x14ac:dyDescent="0.3">
      <c r="A60">
        <v>5058</v>
      </c>
      <c r="B60" t="s">
        <v>67</v>
      </c>
      <c r="C60" t="s">
        <v>32</v>
      </c>
      <c r="D60" t="s">
        <v>43</v>
      </c>
      <c r="E60" t="s">
        <v>29</v>
      </c>
      <c r="F60" t="s">
        <v>20</v>
      </c>
      <c r="G60" t="s">
        <v>21</v>
      </c>
      <c r="H60">
        <v>2</v>
      </c>
      <c r="I60" s="5">
        <v>702.71</v>
      </c>
      <c r="J60">
        <v>0</v>
      </c>
      <c r="K60" s="4">
        <v>1405.42</v>
      </c>
      <c r="L60" t="s">
        <v>30</v>
      </c>
      <c r="M60" t="s">
        <v>30</v>
      </c>
      <c r="N60" s="2">
        <f>Table1[[#This Row],[TotalSales]]/Table1[[#This Row],[TicketPrice]]*Table1[[#This Row],[TicketsSold]]</f>
        <v>4</v>
      </c>
      <c r="O60">
        <v>0</v>
      </c>
      <c r="P60">
        <v>0</v>
      </c>
    </row>
    <row r="61" spans="1:16" x14ac:dyDescent="0.3">
      <c r="A61">
        <v>5059</v>
      </c>
      <c r="B61" t="s">
        <v>74</v>
      </c>
      <c r="C61" t="s">
        <v>32</v>
      </c>
      <c r="D61" t="s">
        <v>46</v>
      </c>
      <c r="E61" t="s">
        <v>29</v>
      </c>
      <c r="F61" t="s">
        <v>26</v>
      </c>
      <c r="G61" t="s">
        <v>40</v>
      </c>
      <c r="H61">
        <v>2</v>
      </c>
      <c r="I61" s="5">
        <v>1269.83</v>
      </c>
      <c r="J61">
        <v>0.1</v>
      </c>
      <c r="K61" s="4">
        <v>2285.694</v>
      </c>
      <c r="L61" t="s">
        <v>30</v>
      </c>
      <c r="M61" t="s">
        <v>30</v>
      </c>
      <c r="N61" s="2">
        <f>Table1[[#This Row],[TotalSales]]/Table1[[#This Row],[TicketPrice]]*Table1[[#This Row],[TicketsSold]]</f>
        <v>3.6</v>
      </c>
      <c r="O61">
        <v>0</v>
      </c>
      <c r="P61">
        <v>0</v>
      </c>
    </row>
    <row r="62" spans="1:16" hidden="1" x14ac:dyDescent="0.3">
      <c r="A62">
        <v>5060</v>
      </c>
      <c r="B62" t="s">
        <v>77</v>
      </c>
      <c r="C62" t="s">
        <v>17</v>
      </c>
      <c r="D62" t="s">
        <v>24</v>
      </c>
      <c r="E62" t="s">
        <v>29</v>
      </c>
      <c r="F62" t="s">
        <v>26</v>
      </c>
      <c r="G62" t="s">
        <v>21</v>
      </c>
      <c r="H62">
        <v>0</v>
      </c>
      <c r="I62" s="3">
        <v>563.46</v>
      </c>
      <c r="J62">
        <v>0.05</v>
      </c>
      <c r="K62" s="1">
        <v>0</v>
      </c>
      <c r="L62" t="s">
        <v>30</v>
      </c>
      <c r="M62" t="s">
        <v>30</v>
      </c>
      <c r="N62" s="2">
        <f>Table1[[#This Row],[TotalSales]]/Table1[[#This Row],[TicketPrice]]*Table1[[#This Row],[TicketsSold]]</f>
        <v>0</v>
      </c>
      <c r="O62">
        <v>0</v>
      </c>
      <c r="P62">
        <v>0</v>
      </c>
    </row>
    <row r="63" spans="1:16" hidden="1" x14ac:dyDescent="0.3">
      <c r="A63">
        <v>5061</v>
      </c>
      <c r="B63" t="s">
        <v>65</v>
      </c>
      <c r="C63" t="s">
        <v>17</v>
      </c>
      <c r="D63" t="s">
        <v>45</v>
      </c>
      <c r="E63" t="s">
        <v>25</v>
      </c>
      <c r="F63" t="s">
        <v>34</v>
      </c>
      <c r="G63" t="s">
        <v>35</v>
      </c>
      <c r="H63">
        <v>0</v>
      </c>
      <c r="I63" s="3">
        <v>1160.6600000000001</v>
      </c>
      <c r="J63">
        <v>0</v>
      </c>
      <c r="K63" s="1">
        <v>0</v>
      </c>
      <c r="L63" t="s">
        <v>30</v>
      </c>
      <c r="M63" t="s">
        <v>22</v>
      </c>
      <c r="N63" s="2">
        <f>Table1[[#This Row],[TotalSales]]/Table1[[#This Row],[TicketPrice]]*Table1[[#This Row],[TicketsSold]]</f>
        <v>0</v>
      </c>
      <c r="O63">
        <v>0</v>
      </c>
      <c r="P63">
        <v>1</v>
      </c>
    </row>
    <row r="64" spans="1:16" x14ac:dyDescent="0.3">
      <c r="A64">
        <v>5062</v>
      </c>
      <c r="B64" t="s">
        <v>78</v>
      </c>
      <c r="C64" t="s">
        <v>17</v>
      </c>
      <c r="D64" t="s">
        <v>45</v>
      </c>
      <c r="E64" t="s">
        <v>19</v>
      </c>
      <c r="F64" t="s">
        <v>34</v>
      </c>
      <c r="G64" t="s">
        <v>21</v>
      </c>
      <c r="H64">
        <v>3</v>
      </c>
      <c r="I64" s="5">
        <v>759.7</v>
      </c>
      <c r="J64">
        <v>0.1</v>
      </c>
      <c r="K64" s="4">
        <v>2051.1900000000005</v>
      </c>
      <c r="L64" t="s">
        <v>30</v>
      </c>
      <c r="M64" t="s">
        <v>30</v>
      </c>
      <c r="N64" s="2">
        <f>Table1[[#This Row],[TotalSales]]/Table1[[#This Row],[TicketPrice]]*Table1[[#This Row],[TicketsSold]]</f>
        <v>8.1000000000000014</v>
      </c>
      <c r="O64">
        <v>0</v>
      </c>
      <c r="P64">
        <v>0</v>
      </c>
    </row>
    <row r="65" spans="1:16" hidden="1" x14ac:dyDescent="0.3">
      <c r="A65">
        <v>5063</v>
      </c>
      <c r="B65" t="s">
        <v>39</v>
      </c>
      <c r="C65" t="s">
        <v>17</v>
      </c>
      <c r="D65" t="s">
        <v>46</v>
      </c>
      <c r="E65" t="s">
        <v>25</v>
      </c>
      <c r="F65" t="s">
        <v>26</v>
      </c>
      <c r="G65" t="s">
        <v>35</v>
      </c>
      <c r="H65">
        <v>0</v>
      </c>
      <c r="I65" s="3">
        <v>1285.1600000000001</v>
      </c>
      <c r="K65" s="1">
        <v>0</v>
      </c>
      <c r="L65" t="s">
        <v>22</v>
      </c>
      <c r="M65" t="s">
        <v>22</v>
      </c>
      <c r="N65" s="2">
        <f>Table1[[#This Row],[TotalSales]]/Table1[[#This Row],[TicketPrice]]*Table1[[#This Row],[TicketsSold]]</f>
        <v>0</v>
      </c>
      <c r="O65">
        <v>1</v>
      </c>
      <c r="P65">
        <v>1</v>
      </c>
    </row>
    <row r="66" spans="1:16" hidden="1" x14ac:dyDescent="0.3">
      <c r="A66">
        <v>5064</v>
      </c>
      <c r="B66" t="s">
        <v>61</v>
      </c>
      <c r="C66" t="s">
        <v>32</v>
      </c>
      <c r="D66" t="s">
        <v>45</v>
      </c>
      <c r="E66" t="s">
        <v>19</v>
      </c>
      <c r="F66" t="s">
        <v>34</v>
      </c>
      <c r="G66" t="s">
        <v>35</v>
      </c>
      <c r="H66">
        <v>0</v>
      </c>
      <c r="I66" s="3">
        <v>444.39</v>
      </c>
      <c r="J66">
        <v>0.1</v>
      </c>
      <c r="K66" s="1">
        <v>0</v>
      </c>
      <c r="L66" t="s">
        <v>22</v>
      </c>
      <c r="M66" t="s">
        <v>22</v>
      </c>
      <c r="N66" s="2">
        <f>Table1[[#This Row],[TotalSales]]/Table1[[#This Row],[TicketPrice]]*Table1[[#This Row],[TicketsSold]]</f>
        <v>0</v>
      </c>
      <c r="O66">
        <v>1</v>
      </c>
      <c r="P66">
        <v>1</v>
      </c>
    </row>
    <row r="67" spans="1:16" x14ac:dyDescent="0.3">
      <c r="A67">
        <v>5065</v>
      </c>
      <c r="B67" t="s">
        <v>53</v>
      </c>
      <c r="C67" t="s">
        <v>28</v>
      </c>
      <c r="D67" t="s">
        <v>43</v>
      </c>
      <c r="E67" t="s">
        <v>29</v>
      </c>
      <c r="F67" t="s">
        <v>34</v>
      </c>
      <c r="G67" t="s">
        <v>35</v>
      </c>
      <c r="H67">
        <v>1</v>
      </c>
      <c r="I67" s="5">
        <v>762.79</v>
      </c>
      <c r="J67">
        <v>0.05</v>
      </c>
      <c r="K67" s="4">
        <v>724.65049999999997</v>
      </c>
      <c r="L67" t="s">
        <v>22</v>
      </c>
      <c r="M67" t="s">
        <v>30</v>
      </c>
      <c r="N67" s="2">
        <f>Table1[[#This Row],[TotalSales]]/Table1[[#This Row],[TicketPrice]]*Table1[[#This Row],[TicketsSold]]</f>
        <v>0.95</v>
      </c>
      <c r="O67">
        <v>1</v>
      </c>
      <c r="P67">
        <v>0</v>
      </c>
    </row>
    <row r="68" spans="1:16" x14ac:dyDescent="0.3">
      <c r="A68">
        <v>5066</v>
      </c>
      <c r="B68" t="s">
        <v>65</v>
      </c>
      <c r="C68" t="s">
        <v>28</v>
      </c>
      <c r="D68" t="s">
        <v>45</v>
      </c>
      <c r="E68" t="s">
        <v>29</v>
      </c>
      <c r="F68" t="s">
        <v>20</v>
      </c>
      <c r="G68" t="s">
        <v>35</v>
      </c>
      <c r="H68">
        <v>1</v>
      </c>
      <c r="I68" s="5">
        <v>490.15</v>
      </c>
      <c r="J68">
        <v>0.05</v>
      </c>
      <c r="K68" s="4">
        <v>465.64249999999998</v>
      </c>
      <c r="L68" t="s">
        <v>22</v>
      </c>
      <c r="M68" t="s">
        <v>30</v>
      </c>
      <c r="N68" s="2">
        <f>Table1[[#This Row],[TotalSales]]/Table1[[#This Row],[TicketPrice]]*Table1[[#This Row],[TicketsSold]]</f>
        <v>0.95000000000000007</v>
      </c>
      <c r="O68">
        <v>1</v>
      </c>
      <c r="P68">
        <v>0</v>
      </c>
    </row>
    <row r="69" spans="1:16" x14ac:dyDescent="0.3">
      <c r="A69">
        <v>5067</v>
      </c>
      <c r="B69" t="s">
        <v>49</v>
      </c>
      <c r="C69" t="s">
        <v>28</v>
      </c>
      <c r="D69" t="s">
        <v>24</v>
      </c>
      <c r="E69" t="s">
        <v>29</v>
      </c>
      <c r="F69" t="s">
        <v>20</v>
      </c>
      <c r="G69" t="s">
        <v>21</v>
      </c>
      <c r="H69">
        <v>5</v>
      </c>
      <c r="I69" s="5">
        <v>369.65</v>
      </c>
      <c r="J69">
        <v>0.1</v>
      </c>
      <c r="K69" s="4">
        <v>1663.425</v>
      </c>
      <c r="L69" t="s">
        <v>22</v>
      </c>
      <c r="M69" t="s">
        <v>30</v>
      </c>
      <c r="N69" s="2">
        <f>Table1[[#This Row],[TotalSales]]/Table1[[#This Row],[TicketPrice]]*Table1[[#This Row],[TicketsSold]]</f>
        <v>22.5</v>
      </c>
      <c r="O69">
        <v>1</v>
      </c>
      <c r="P69">
        <v>0</v>
      </c>
    </row>
    <row r="70" spans="1:16" x14ac:dyDescent="0.3">
      <c r="A70">
        <v>5068</v>
      </c>
      <c r="B70" t="s">
        <v>79</v>
      </c>
      <c r="C70" t="s">
        <v>32</v>
      </c>
      <c r="D70" t="s">
        <v>45</v>
      </c>
      <c r="E70" t="s">
        <v>29</v>
      </c>
      <c r="F70" t="s">
        <v>20</v>
      </c>
      <c r="G70" t="s">
        <v>21</v>
      </c>
      <c r="H70">
        <v>1</v>
      </c>
      <c r="I70" s="5">
        <v>720.48</v>
      </c>
      <c r="J70">
        <v>0</v>
      </c>
      <c r="K70" s="4">
        <v>720.48</v>
      </c>
      <c r="L70" t="s">
        <v>22</v>
      </c>
      <c r="M70" t="s">
        <v>22</v>
      </c>
      <c r="N70" s="2">
        <f>Table1[[#This Row],[TotalSales]]/Table1[[#This Row],[TicketPrice]]*Table1[[#This Row],[TicketsSold]]</f>
        <v>1</v>
      </c>
      <c r="O70">
        <v>1</v>
      </c>
      <c r="P70">
        <v>1</v>
      </c>
    </row>
    <row r="71" spans="1:16" x14ac:dyDescent="0.3">
      <c r="A71">
        <v>5069</v>
      </c>
      <c r="B71" t="s">
        <v>59</v>
      </c>
      <c r="C71" t="s">
        <v>32</v>
      </c>
      <c r="D71" t="s">
        <v>46</v>
      </c>
      <c r="E71" t="s">
        <v>29</v>
      </c>
      <c r="F71" t="s">
        <v>26</v>
      </c>
      <c r="G71" t="s">
        <v>40</v>
      </c>
      <c r="H71">
        <v>2</v>
      </c>
      <c r="I71" s="5">
        <v>923.02</v>
      </c>
      <c r="J71">
        <v>0</v>
      </c>
      <c r="K71" s="4">
        <v>1846.04</v>
      </c>
      <c r="L71" t="s">
        <v>22</v>
      </c>
      <c r="M71" t="s">
        <v>30</v>
      </c>
      <c r="N71" s="2">
        <f>Table1[[#This Row],[TotalSales]]/Table1[[#This Row],[TicketPrice]]*Table1[[#This Row],[TicketsSold]]</f>
        <v>4</v>
      </c>
      <c r="O71">
        <v>1</v>
      </c>
      <c r="P71">
        <v>0</v>
      </c>
    </row>
    <row r="72" spans="1:16" x14ac:dyDescent="0.3">
      <c r="A72">
        <v>5070</v>
      </c>
      <c r="B72" t="s">
        <v>80</v>
      </c>
      <c r="C72" t="s">
        <v>28</v>
      </c>
      <c r="D72" t="s">
        <v>46</v>
      </c>
      <c r="E72" t="s">
        <v>29</v>
      </c>
      <c r="F72" t="s">
        <v>34</v>
      </c>
      <c r="G72" t="s">
        <v>21</v>
      </c>
      <c r="H72">
        <v>1</v>
      </c>
      <c r="I72" s="5">
        <v>1146.73</v>
      </c>
      <c r="J72">
        <v>0</v>
      </c>
      <c r="K72" s="4">
        <v>1146.73</v>
      </c>
      <c r="L72" t="s">
        <v>22</v>
      </c>
      <c r="M72" t="s">
        <v>22</v>
      </c>
      <c r="N72" s="2">
        <f>Table1[[#This Row],[TotalSales]]/Table1[[#This Row],[TicketPrice]]*Table1[[#This Row],[TicketsSold]]</f>
        <v>1</v>
      </c>
      <c r="O72">
        <v>1</v>
      </c>
      <c r="P72">
        <v>1</v>
      </c>
    </row>
    <row r="73" spans="1:16" hidden="1" x14ac:dyDescent="0.3">
      <c r="A73">
        <v>5071</v>
      </c>
      <c r="B73" t="s">
        <v>81</v>
      </c>
      <c r="C73" t="s">
        <v>28</v>
      </c>
      <c r="D73" t="s">
        <v>45</v>
      </c>
      <c r="E73" t="s">
        <v>29</v>
      </c>
      <c r="F73" t="s">
        <v>34</v>
      </c>
      <c r="G73" t="s">
        <v>21</v>
      </c>
      <c r="H73">
        <v>0</v>
      </c>
      <c r="I73" s="3">
        <v>364.56</v>
      </c>
      <c r="J73">
        <v>0</v>
      </c>
      <c r="K73" s="1">
        <v>0</v>
      </c>
      <c r="L73" t="s">
        <v>30</v>
      </c>
      <c r="M73" t="s">
        <v>30</v>
      </c>
      <c r="N73" s="2">
        <f>Table1[[#This Row],[TotalSales]]/Table1[[#This Row],[TicketPrice]]*Table1[[#This Row],[TicketsSold]]</f>
        <v>0</v>
      </c>
      <c r="O73">
        <v>0</v>
      </c>
      <c r="P73">
        <v>0</v>
      </c>
    </row>
    <row r="74" spans="1:16" x14ac:dyDescent="0.3">
      <c r="A74">
        <v>5072</v>
      </c>
      <c r="B74" t="s">
        <v>82</v>
      </c>
      <c r="C74" t="s">
        <v>28</v>
      </c>
      <c r="D74" t="s">
        <v>43</v>
      </c>
      <c r="E74" t="s">
        <v>29</v>
      </c>
      <c r="F74" t="s">
        <v>34</v>
      </c>
      <c r="G74" t="s">
        <v>35</v>
      </c>
      <c r="H74">
        <v>2</v>
      </c>
      <c r="I74" s="5">
        <v>895.09</v>
      </c>
      <c r="J74">
        <v>0.1</v>
      </c>
      <c r="K74" s="4">
        <v>1611.162</v>
      </c>
      <c r="L74" t="s">
        <v>22</v>
      </c>
      <c r="M74" t="s">
        <v>22</v>
      </c>
      <c r="N74" s="2">
        <f>Table1[[#This Row],[TotalSales]]/Table1[[#This Row],[TicketPrice]]*Table1[[#This Row],[TicketsSold]]</f>
        <v>3.6</v>
      </c>
      <c r="O74">
        <v>1</v>
      </c>
      <c r="P74">
        <v>1</v>
      </c>
    </row>
    <row r="75" spans="1:16" x14ac:dyDescent="0.3">
      <c r="A75">
        <v>5073</v>
      </c>
      <c r="B75" t="s">
        <v>83</v>
      </c>
      <c r="C75" t="s">
        <v>32</v>
      </c>
      <c r="D75" t="s">
        <v>45</v>
      </c>
      <c r="E75" t="s">
        <v>29</v>
      </c>
      <c r="F75" t="s">
        <v>26</v>
      </c>
      <c r="G75" t="s">
        <v>35</v>
      </c>
      <c r="H75">
        <v>2</v>
      </c>
      <c r="I75" s="5">
        <v>217.99</v>
      </c>
      <c r="J75">
        <v>0</v>
      </c>
      <c r="K75" s="4">
        <v>435.98</v>
      </c>
      <c r="L75" t="s">
        <v>30</v>
      </c>
      <c r="M75" t="s">
        <v>22</v>
      </c>
      <c r="N75" s="2">
        <f>Table1[[#This Row],[TotalSales]]/Table1[[#This Row],[TicketPrice]]*Table1[[#This Row],[TicketsSold]]</f>
        <v>4</v>
      </c>
      <c r="O75">
        <v>0</v>
      </c>
      <c r="P75">
        <v>1</v>
      </c>
    </row>
    <row r="76" spans="1:16" x14ac:dyDescent="0.3">
      <c r="A76">
        <v>5074</v>
      </c>
      <c r="B76" t="s">
        <v>69</v>
      </c>
      <c r="C76" t="s">
        <v>28</v>
      </c>
      <c r="D76" t="s">
        <v>33</v>
      </c>
      <c r="E76" t="s">
        <v>29</v>
      </c>
      <c r="F76" t="s">
        <v>34</v>
      </c>
      <c r="G76" t="s">
        <v>21</v>
      </c>
      <c r="H76">
        <v>2</v>
      </c>
      <c r="I76" s="5">
        <v>295.60000000000002</v>
      </c>
      <c r="J76">
        <v>0</v>
      </c>
      <c r="K76" s="4">
        <v>591.20000000000005</v>
      </c>
      <c r="L76" t="s">
        <v>30</v>
      </c>
      <c r="M76" t="s">
        <v>22</v>
      </c>
      <c r="N76" s="2">
        <f>Table1[[#This Row],[TotalSales]]/Table1[[#This Row],[TicketPrice]]*Table1[[#This Row],[TicketsSold]]</f>
        <v>4</v>
      </c>
      <c r="O76">
        <v>0</v>
      </c>
      <c r="P76">
        <v>1</v>
      </c>
    </row>
    <row r="77" spans="1:16" hidden="1" x14ac:dyDescent="0.3">
      <c r="A77">
        <v>5075</v>
      </c>
      <c r="B77" t="s">
        <v>65</v>
      </c>
      <c r="C77" t="s">
        <v>28</v>
      </c>
      <c r="D77" t="s">
        <v>46</v>
      </c>
      <c r="E77" t="s">
        <v>25</v>
      </c>
      <c r="F77" t="s">
        <v>20</v>
      </c>
      <c r="G77" t="s">
        <v>21</v>
      </c>
      <c r="H77">
        <v>0</v>
      </c>
      <c r="I77" s="3">
        <v>471.2</v>
      </c>
      <c r="J77">
        <v>0</v>
      </c>
      <c r="K77" s="1">
        <v>0</v>
      </c>
      <c r="L77" t="s">
        <v>22</v>
      </c>
      <c r="M77" t="s">
        <v>22</v>
      </c>
      <c r="N77" s="2">
        <f>Table1[[#This Row],[TotalSales]]/Table1[[#This Row],[TicketPrice]]*Table1[[#This Row],[TicketsSold]]</f>
        <v>0</v>
      </c>
      <c r="O77">
        <v>1</v>
      </c>
      <c r="P77">
        <v>1</v>
      </c>
    </row>
    <row r="78" spans="1:16" x14ac:dyDescent="0.3">
      <c r="A78">
        <v>5076</v>
      </c>
      <c r="B78" t="s">
        <v>59</v>
      </c>
      <c r="C78" t="s">
        <v>17</v>
      </c>
      <c r="D78" t="s">
        <v>33</v>
      </c>
      <c r="E78" t="s">
        <v>19</v>
      </c>
      <c r="F78" t="s">
        <v>34</v>
      </c>
      <c r="G78" t="s">
        <v>35</v>
      </c>
      <c r="H78">
        <v>2</v>
      </c>
      <c r="I78" s="5">
        <v>367.62</v>
      </c>
      <c r="J78">
        <v>0.1</v>
      </c>
      <c r="K78" s="4">
        <v>661.71600000000001</v>
      </c>
      <c r="L78" t="s">
        <v>22</v>
      </c>
      <c r="M78" t="s">
        <v>30</v>
      </c>
      <c r="N78" s="2">
        <f>Table1[[#This Row],[TotalSales]]/Table1[[#This Row],[TicketPrice]]*Table1[[#This Row],[TicketsSold]]</f>
        <v>3.6</v>
      </c>
      <c r="O78">
        <v>1</v>
      </c>
      <c r="P78">
        <v>0</v>
      </c>
    </row>
    <row r="79" spans="1:16" x14ac:dyDescent="0.3">
      <c r="A79">
        <v>5077</v>
      </c>
      <c r="B79" t="s">
        <v>72</v>
      </c>
      <c r="C79" t="s">
        <v>32</v>
      </c>
      <c r="D79" t="s">
        <v>43</v>
      </c>
      <c r="E79" t="s">
        <v>29</v>
      </c>
      <c r="F79" t="s">
        <v>34</v>
      </c>
      <c r="G79" t="s">
        <v>40</v>
      </c>
      <c r="H79">
        <v>1</v>
      </c>
      <c r="I79" s="5">
        <v>1490.83</v>
      </c>
      <c r="J79">
        <v>0.1</v>
      </c>
      <c r="K79" s="4">
        <v>1341.7470000000001</v>
      </c>
      <c r="L79" t="s">
        <v>30</v>
      </c>
      <c r="M79" t="s">
        <v>30</v>
      </c>
      <c r="N79" s="2">
        <f>Table1[[#This Row],[TotalSales]]/Table1[[#This Row],[TicketPrice]]*Table1[[#This Row],[TicketsSold]]</f>
        <v>0.90000000000000013</v>
      </c>
      <c r="O79">
        <v>0</v>
      </c>
      <c r="P79">
        <v>0</v>
      </c>
    </row>
    <row r="80" spans="1:16" x14ac:dyDescent="0.3">
      <c r="A80">
        <v>5078</v>
      </c>
      <c r="B80" t="s">
        <v>68</v>
      </c>
      <c r="C80" t="s">
        <v>32</v>
      </c>
      <c r="D80" t="s">
        <v>43</v>
      </c>
      <c r="E80" t="s">
        <v>29</v>
      </c>
      <c r="F80" t="s">
        <v>34</v>
      </c>
      <c r="G80" t="s">
        <v>21</v>
      </c>
      <c r="H80">
        <v>5</v>
      </c>
      <c r="I80" s="5">
        <v>1448.74</v>
      </c>
      <c r="J80">
        <v>0.1</v>
      </c>
      <c r="K80" s="4">
        <v>6519.33</v>
      </c>
      <c r="L80" t="s">
        <v>30</v>
      </c>
      <c r="M80" t="s">
        <v>30</v>
      </c>
      <c r="N80" s="2">
        <f>Table1[[#This Row],[TotalSales]]/Table1[[#This Row],[TicketPrice]]*Table1[[#This Row],[TicketsSold]]</f>
        <v>22.5</v>
      </c>
      <c r="O80">
        <v>0</v>
      </c>
      <c r="P80">
        <v>0</v>
      </c>
    </row>
    <row r="81" spans="1:16" x14ac:dyDescent="0.3">
      <c r="A81">
        <v>5079</v>
      </c>
      <c r="B81" t="s">
        <v>74</v>
      </c>
      <c r="C81" t="s">
        <v>32</v>
      </c>
      <c r="D81" t="s">
        <v>43</v>
      </c>
      <c r="E81" t="s">
        <v>19</v>
      </c>
      <c r="F81" t="s">
        <v>20</v>
      </c>
      <c r="G81" t="s">
        <v>35</v>
      </c>
      <c r="H81">
        <v>1</v>
      </c>
      <c r="I81" s="5">
        <v>478.14</v>
      </c>
      <c r="J81">
        <v>0.1</v>
      </c>
      <c r="K81" s="4">
        <v>430.32600000000002</v>
      </c>
      <c r="L81" t="s">
        <v>22</v>
      </c>
      <c r="M81" t="s">
        <v>30</v>
      </c>
      <c r="N81" s="2">
        <f>Table1[[#This Row],[TotalSales]]/Table1[[#This Row],[TicketPrice]]*Table1[[#This Row],[TicketsSold]]</f>
        <v>0.9</v>
      </c>
      <c r="O81">
        <v>1</v>
      </c>
      <c r="P81">
        <v>0</v>
      </c>
    </row>
    <row r="82" spans="1:16" x14ac:dyDescent="0.3">
      <c r="A82">
        <v>5080</v>
      </c>
      <c r="B82" t="s">
        <v>76</v>
      </c>
      <c r="C82" t="s">
        <v>32</v>
      </c>
      <c r="D82" t="s">
        <v>45</v>
      </c>
      <c r="E82" t="s">
        <v>29</v>
      </c>
      <c r="F82" t="s">
        <v>26</v>
      </c>
      <c r="G82" t="s">
        <v>40</v>
      </c>
      <c r="H82">
        <v>4</v>
      </c>
      <c r="I82" s="5">
        <v>646.71</v>
      </c>
      <c r="J82">
        <v>0</v>
      </c>
      <c r="K82" s="4">
        <v>2586.84</v>
      </c>
      <c r="L82" t="s">
        <v>30</v>
      </c>
      <c r="M82" t="s">
        <v>30</v>
      </c>
      <c r="N82" s="2">
        <f>Table1[[#This Row],[TotalSales]]/Table1[[#This Row],[TicketPrice]]*Table1[[#This Row],[TicketsSold]]</f>
        <v>16</v>
      </c>
      <c r="O82">
        <v>0</v>
      </c>
      <c r="P82">
        <v>0</v>
      </c>
    </row>
    <row r="83" spans="1:16" x14ac:dyDescent="0.3">
      <c r="A83">
        <v>5081</v>
      </c>
      <c r="B83" t="s">
        <v>75</v>
      </c>
      <c r="C83" t="s">
        <v>32</v>
      </c>
      <c r="D83" t="s">
        <v>18</v>
      </c>
      <c r="E83" t="s">
        <v>29</v>
      </c>
      <c r="F83" t="s">
        <v>34</v>
      </c>
      <c r="G83" t="s">
        <v>40</v>
      </c>
      <c r="H83">
        <v>1</v>
      </c>
      <c r="I83" s="5">
        <v>1450.97</v>
      </c>
      <c r="J83">
        <v>0.1</v>
      </c>
      <c r="K83" s="4">
        <v>1305.873</v>
      </c>
      <c r="L83" t="s">
        <v>30</v>
      </c>
      <c r="M83" t="s">
        <v>30</v>
      </c>
      <c r="N83" s="2">
        <f>Table1[[#This Row],[TotalSales]]/Table1[[#This Row],[TicketPrice]]*Table1[[#This Row],[TicketsSold]]</f>
        <v>0.9</v>
      </c>
      <c r="O83">
        <v>0</v>
      </c>
      <c r="P83">
        <v>0</v>
      </c>
    </row>
    <row r="84" spans="1:16" x14ac:dyDescent="0.3">
      <c r="A84">
        <v>5082</v>
      </c>
      <c r="B84" t="s">
        <v>83</v>
      </c>
      <c r="C84" t="s">
        <v>32</v>
      </c>
      <c r="D84" t="s">
        <v>18</v>
      </c>
      <c r="E84" t="s">
        <v>29</v>
      </c>
      <c r="F84" t="s">
        <v>26</v>
      </c>
      <c r="G84" t="s">
        <v>35</v>
      </c>
      <c r="H84">
        <v>4</v>
      </c>
      <c r="I84" s="5">
        <v>834.28</v>
      </c>
      <c r="J84">
        <v>0</v>
      </c>
      <c r="K84" s="4">
        <v>3337.12</v>
      </c>
      <c r="L84" t="s">
        <v>30</v>
      </c>
      <c r="M84" t="s">
        <v>22</v>
      </c>
      <c r="N84" s="2">
        <f>Table1[[#This Row],[TotalSales]]/Table1[[#This Row],[TicketPrice]]*Table1[[#This Row],[TicketsSold]]</f>
        <v>16</v>
      </c>
      <c r="O84">
        <v>0</v>
      </c>
      <c r="P84">
        <v>1</v>
      </c>
    </row>
    <row r="85" spans="1:16" x14ac:dyDescent="0.3">
      <c r="A85">
        <v>5083</v>
      </c>
      <c r="B85" t="s">
        <v>49</v>
      </c>
      <c r="C85" t="s">
        <v>32</v>
      </c>
      <c r="D85" t="s">
        <v>18</v>
      </c>
      <c r="E85" t="s">
        <v>29</v>
      </c>
      <c r="F85" t="s">
        <v>26</v>
      </c>
      <c r="G85" t="s">
        <v>35</v>
      </c>
      <c r="H85">
        <v>2</v>
      </c>
      <c r="I85" s="5">
        <v>1000.61</v>
      </c>
      <c r="J85">
        <v>0.05</v>
      </c>
      <c r="K85" s="4">
        <v>1901.1589999999999</v>
      </c>
      <c r="L85" t="s">
        <v>30</v>
      </c>
      <c r="M85" t="s">
        <v>30</v>
      </c>
      <c r="N85" s="2">
        <f>Table1[[#This Row],[TotalSales]]/Table1[[#This Row],[TicketPrice]]*Table1[[#This Row],[TicketsSold]]</f>
        <v>3.8</v>
      </c>
      <c r="O85">
        <v>0</v>
      </c>
      <c r="P85">
        <v>0</v>
      </c>
    </row>
    <row r="86" spans="1:16" hidden="1" x14ac:dyDescent="0.3">
      <c r="A86">
        <v>5084</v>
      </c>
      <c r="B86" t="s">
        <v>58</v>
      </c>
      <c r="C86" t="s">
        <v>32</v>
      </c>
      <c r="D86" t="s">
        <v>24</v>
      </c>
      <c r="E86" t="s">
        <v>29</v>
      </c>
      <c r="F86" t="s">
        <v>26</v>
      </c>
      <c r="G86" t="s">
        <v>21</v>
      </c>
      <c r="H86">
        <v>0</v>
      </c>
      <c r="I86" s="3">
        <v>1312.82</v>
      </c>
      <c r="J86">
        <v>0.1</v>
      </c>
      <c r="K86" s="1">
        <v>0</v>
      </c>
      <c r="L86" t="s">
        <v>30</v>
      </c>
      <c r="M86" t="s">
        <v>30</v>
      </c>
      <c r="N86" s="2">
        <f>Table1[[#This Row],[TotalSales]]/Table1[[#This Row],[TicketPrice]]*Table1[[#This Row],[TicketsSold]]</f>
        <v>0</v>
      </c>
      <c r="O86">
        <v>0</v>
      </c>
      <c r="P86">
        <v>0</v>
      </c>
    </row>
    <row r="87" spans="1:16" x14ac:dyDescent="0.3">
      <c r="A87">
        <v>5085</v>
      </c>
      <c r="B87" t="s">
        <v>23</v>
      </c>
      <c r="C87" t="s">
        <v>28</v>
      </c>
      <c r="D87" t="s">
        <v>46</v>
      </c>
      <c r="E87" t="s">
        <v>25</v>
      </c>
      <c r="F87" t="s">
        <v>26</v>
      </c>
      <c r="G87" t="s">
        <v>21</v>
      </c>
      <c r="H87">
        <v>1</v>
      </c>
      <c r="I87" s="5">
        <v>994.74</v>
      </c>
      <c r="J87">
        <v>0.1</v>
      </c>
      <c r="K87" s="4">
        <v>895.26600000000008</v>
      </c>
      <c r="L87" t="s">
        <v>22</v>
      </c>
      <c r="M87" t="s">
        <v>30</v>
      </c>
      <c r="N87" s="2">
        <f>Table1[[#This Row],[TotalSales]]/Table1[[#This Row],[TicketPrice]]*Table1[[#This Row],[TicketsSold]]</f>
        <v>0.9</v>
      </c>
      <c r="O87">
        <v>1</v>
      </c>
      <c r="P87">
        <v>0</v>
      </c>
    </row>
    <row r="88" spans="1:16" hidden="1" x14ac:dyDescent="0.3">
      <c r="A88">
        <v>5086</v>
      </c>
      <c r="B88" t="s">
        <v>71</v>
      </c>
      <c r="C88" t="s">
        <v>32</v>
      </c>
      <c r="D88" t="s">
        <v>43</v>
      </c>
      <c r="E88" t="s">
        <v>29</v>
      </c>
      <c r="F88" t="s">
        <v>20</v>
      </c>
      <c r="G88" t="s">
        <v>21</v>
      </c>
      <c r="H88">
        <v>0</v>
      </c>
      <c r="I88" s="3">
        <v>1187.51</v>
      </c>
      <c r="J88">
        <v>0.1</v>
      </c>
      <c r="K88" s="1">
        <v>0</v>
      </c>
      <c r="L88" t="s">
        <v>22</v>
      </c>
      <c r="M88" t="s">
        <v>22</v>
      </c>
      <c r="N88" s="2">
        <f>Table1[[#This Row],[TotalSales]]/Table1[[#This Row],[TicketPrice]]*Table1[[#This Row],[TicketsSold]]</f>
        <v>0</v>
      </c>
      <c r="O88">
        <v>1</v>
      </c>
      <c r="P88">
        <v>1</v>
      </c>
    </row>
    <row r="89" spans="1:16" x14ac:dyDescent="0.3">
      <c r="A89">
        <v>5087</v>
      </c>
      <c r="B89" t="s">
        <v>66</v>
      </c>
      <c r="C89" t="s">
        <v>32</v>
      </c>
      <c r="D89" t="s">
        <v>33</v>
      </c>
      <c r="E89" t="s">
        <v>19</v>
      </c>
      <c r="F89" t="s">
        <v>26</v>
      </c>
      <c r="G89" t="s">
        <v>35</v>
      </c>
      <c r="H89">
        <v>5</v>
      </c>
      <c r="I89" s="5">
        <v>932.6</v>
      </c>
      <c r="J89">
        <v>0.1</v>
      </c>
      <c r="K89" s="4">
        <v>4196.7</v>
      </c>
      <c r="L89" t="s">
        <v>30</v>
      </c>
      <c r="M89" t="s">
        <v>30</v>
      </c>
      <c r="N89" s="2">
        <f>Table1[[#This Row],[TotalSales]]/Table1[[#This Row],[TicketPrice]]*Table1[[#This Row],[TicketsSold]]</f>
        <v>22.5</v>
      </c>
      <c r="O89">
        <v>0</v>
      </c>
      <c r="P89">
        <v>0</v>
      </c>
    </row>
    <row r="90" spans="1:16" hidden="1" x14ac:dyDescent="0.3">
      <c r="A90">
        <v>5088</v>
      </c>
      <c r="B90" t="s">
        <v>53</v>
      </c>
      <c r="C90" t="s">
        <v>28</v>
      </c>
      <c r="D90" t="s">
        <v>33</v>
      </c>
      <c r="E90" t="s">
        <v>25</v>
      </c>
      <c r="F90" t="s">
        <v>26</v>
      </c>
      <c r="G90" t="s">
        <v>35</v>
      </c>
      <c r="H90">
        <v>0</v>
      </c>
      <c r="I90" s="3">
        <v>303.37</v>
      </c>
      <c r="K90" s="1">
        <v>0</v>
      </c>
      <c r="L90" t="s">
        <v>22</v>
      </c>
      <c r="M90" t="s">
        <v>30</v>
      </c>
      <c r="N90" s="2">
        <f>Table1[[#This Row],[TotalSales]]/Table1[[#This Row],[TicketPrice]]*Table1[[#This Row],[TicketsSold]]</f>
        <v>0</v>
      </c>
      <c r="O90">
        <v>1</v>
      </c>
      <c r="P90">
        <v>0</v>
      </c>
    </row>
    <row r="91" spans="1:16" hidden="1" x14ac:dyDescent="0.3">
      <c r="A91">
        <v>5089</v>
      </c>
      <c r="B91" t="s">
        <v>84</v>
      </c>
      <c r="C91" t="s">
        <v>28</v>
      </c>
      <c r="D91" t="s">
        <v>43</v>
      </c>
      <c r="E91" t="s">
        <v>29</v>
      </c>
      <c r="F91" t="s">
        <v>26</v>
      </c>
      <c r="G91" t="s">
        <v>40</v>
      </c>
      <c r="H91">
        <v>0</v>
      </c>
      <c r="I91" s="3">
        <v>435.03</v>
      </c>
      <c r="J91">
        <v>0.05</v>
      </c>
      <c r="K91" s="1">
        <v>0</v>
      </c>
      <c r="L91" t="s">
        <v>30</v>
      </c>
      <c r="M91" t="s">
        <v>22</v>
      </c>
      <c r="N91" s="2">
        <f>Table1[[#This Row],[TotalSales]]/Table1[[#This Row],[TicketPrice]]*Table1[[#This Row],[TicketsSold]]</f>
        <v>0</v>
      </c>
      <c r="O91">
        <v>0</v>
      </c>
      <c r="P91">
        <v>1</v>
      </c>
    </row>
    <row r="92" spans="1:16" hidden="1" x14ac:dyDescent="0.3">
      <c r="A92">
        <v>5090</v>
      </c>
      <c r="B92" t="s">
        <v>69</v>
      </c>
      <c r="C92" t="s">
        <v>32</v>
      </c>
      <c r="D92" t="s">
        <v>24</v>
      </c>
      <c r="E92" t="s">
        <v>19</v>
      </c>
      <c r="F92" t="s">
        <v>34</v>
      </c>
      <c r="G92" t="s">
        <v>21</v>
      </c>
      <c r="H92">
        <v>0</v>
      </c>
      <c r="I92" s="3">
        <v>1459.35</v>
      </c>
      <c r="J92">
        <v>0.05</v>
      </c>
      <c r="K92" s="1">
        <v>0</v>
      </c>
      <c r="L92" t="s">
        <v>22</v>
      </c>
      <c r="M92" t="s">
        <v>22</v>
      </c>
      <c r="N92" s="2">
        <f>Table1[[#This Row],[TotalSales]]/Table1[[#This Row],[TicketPrice]]*Table1[[#This Row],[TicketsSold]]</f>
        <v>0</v>
      </c>
      <c r="O92">
        <v>1</v>
      </c>
      <c r="P92">
        <v>1</v>
      </c>
    </row>
    <row r="93" spans="1:16" hidden="1" x14ac:dyDescent="0.3">
      <c r="A93">
        <v>5091</v>
      </c>
      <c r="B93" t="s">
        <v>16</v>
      </c>
      <c r="C93" t="s">
        <v>28</v>
      </c>
      <c r="D93" t="s">
        <v>33</v>
      </c>
      <c r="E93" t="s">
        <v>25</v>
      </c>
      <c r="F93" t="s">
        <v>26</v>
      </c>
      <c r="G93" t="s">
        <v>35</v>
      </c>
      <c r="H93">
        <v>0</v>
      </c>
      <c r="I93" s="3">
        <v>1465.64</v>
      </c>
      <c r="K93" s="1">
        <v>0</v>
      </c>
      <c r="L93" t="s">
        <v>22</v>
      </c>
      <c r="M93" t="s">
        <v>30</v>
      </c>
      <c r="N93" s="2">
        <f>Table1[[#This Row],[TotalSales]]/Table1[[#This Row],[TicketPrice]]*Table1[[#This Row],[TicketsSold]]</f>
        <v>0</v>
      </c>
      <c r="O93">
        <v>1</v>
      </c>
      <c r="P93">
        <v>0</v>
      </c>
    </row>
    <row r="94" spans="1:16" hidden="1" x14ac:dyDescent="0.3">
      <c r="A94">
        <v>5092</v>
      </c>
      <c r="B94" t="s">
        <v>76</v>
      </c>
      <c r="C94" t="s">
        <v>17</v>
      </c>
      <c r="D94" t="s">
        <v>45</v>
      </c>
      <c r="E94" t="s">
        <v>25</v>
      </c>
      <c r="F94" t="s">
        <v>34</v>
      </c>
      <c r="G94" t="s">
        <v>21</v>
      </c>
      <c r="H94">
        <v>0</v>
      </c>
      <c r="I94" s="3">
        <v>591.49</v>
      </c>
      <c r="K94" s="1">
        <v>0</v>
      </c>
      <c r="L94" t="s">
        <v>22</v>
      </c>
      <c r="M94" t="s">
        <v>22</v>
      </c>
      <c r="N94" s="2">
        <f>Table1[[#This Row],[TotalSales]]/Table1[[#This Row],[TicketPrice]]*Table1[[#This Row],[TicketsSold]]</f>
        <v>0</v>
      </c>
      <c r="O94">
        <v>1</v>
      </c>
      <c r="P94">
        <v>1</v>
      </c>
    </row>
    <row r="95" spans="1:16" x14ac:dyDescent="0.3">
      <c r="A95">
        <v>5093</v>
      </c>
      <c r="B95" t="s">
        <v>38</v>
      </c>
      <c r="C95" t="s">
        <v>32</v>
      </c>
      <c r="D95" t="s">
        <v>24</v>
      </c>
      <c r="E95" t="s">
        <v>29</v>
      </c>
      <c r="F95" t="s">
        <v>34</v>
      </c>
      <c r="G95" t="s">
        <v>21</v>
      </c>
      <c r="H95">
        <v>2</v>
      </c>
      <c r="I95" s="5">
        <v>583.41999999999996</v>
      </c>
      <c r="J95">
        <v>0.05</v>
      </c>
      <c r="K95" s="4">
        <v>1108.4979999999998</v>
      </c>
      <c r="L95" t="s">
        <v>30</v>
      </c>
      <c r="M95" t="s">
        <v>22</v>
      </c>
      <c r="N95" s="2">
        <f>Table1[[#This Row],[TotalSales]]/Table1[[#This Row],[TicketPrice]]*Table1[[#This Row],[TicketsSold]]</f>
        <v>3.8</v>
      </c>
      <c r="O95">
        <v>0</v>
      </c>
      <c r="P95">
        <v>1</v>
      </c>
    </row>
    <row r="96" spans="1:16" x14ac:dyDescent="0.3">
      <c r="A96">
        <v>5094</v>
      </c>
      <c r="B96" t="s">
        <v>49</v>
      </c>
      <c r="C96" t="s">
        <v>32</v>
      </c>
      <c r="D96" t="s">
        <v>46</v>
      </c>
      <c r="E96" t="s">
        <v>29</v>
      </c>
      <c r="F96" t="s">
        <v>26</v>
      </c>
      <c r="G96" t="s">
        <v>21</v>
      </c>
      <c r="H96">
        <v>1</v>
      </c>
      <c r="I96" s="5">
        <v>574.82000000000005</v>
      </c>
      <c r="J96">
        <v>0.05</v>
      </c>
      <c r="K96" s="4">
        <v>546.07900000000006</v>
      </c>
      <c r="L96" t="s">
        <v>22</v>
      </c>
      <c r="M96" t="s">
        <v>30</v>
      </c>
      <c r="N96" s="2">
        <f>Table1[[#This Row],[TotalSales]]/Table1[[#This Row],[TicketPrice]]*Table1[[#This Row],[TicketsSold]]</f>
        <v>0.95000000000000007</v>
      </c>
      <c r="O96">
        <v>1</v>
      </c>
      <c r="P96">
        <v>0</v>
      </c>
    </row>
    <row r="97" spans="1:16" x14ac:dyDescent="0.3">
      <c r="A97">
        <v>5095</v>
      </c>
      <c r="B97" t="s">
        <v>85</v>
      </c>
      <c r="C97" t="s">
        <v>28</v>
      </c>
      <c r="D97" t="s">
        <v>24</v>
      </c>
      <c r="E97" t="s">
        <v>29</v>
      </c>
      <c r="F97" t="s">
        <v>26</v>
      </c>
      <c r="G97" t="s">
        <v>35</v>
      </c>
      <c r="H97">
        <v>1</v>
      </c>
      <c r="I97" s="5">
        <v>1030.95</v>
      </c>
      <c r="J97">
        <v>0.1</v>
      </c>
      <c r="K97" s="4">
        <v>927.85500000000002</v>
      </c>
      <c r="L97" t="s">
        <v>22</v>
      </c>
      <c r="M97" t="s">
        <v>22</v>
      </c>
      <c r="N97" s="2">
        <f>Table1[[#This Row],[TotalSales]]/Table1[[#This Row],[TicketPrice]]*Table1[[#This Row],[TicketsSold]]</f>
        <v>0.9</v>
      </c>
      <c r="O97">
        <v>1</v>
      </c>
      <c r="P97">
        <v>1</v>
      </c>
    </row>
    <row r="98" spans="1:16" x14ac:dyDescent="0.3">
      <c r="A98">
        <v>5096</v>
      </c>
      <c r="B98" t="s">
        <v>53</v>
      </c>
      <c r="C98" t="s">
        <v>28</v>
      </c>
      <c r="D98" t="s">
        <v>24</v>
      </c>
      <c r="E98" t="s">
        <v>29</v>
      </c>
      <c r="F98" t="s">
        <v>34</v>
      </c>
      <c r="G98" t="s">
        <v>21</v>
      </c>
      <c r="H98">
        <v>2</v>
      </c>
      <c r="I98" s="5">
        <v>346.42</v>
      </c>
      <c r="J98">
        <v>0.1</v>
      </c>
      <c r="K98" s="4">
        <v>623.55600000000004</v>
      </c>
      <c r="L98" t="s">
        <v>30</v>
      </c>
      <c r="M98" t="s">
        <v>22</v>
      </c>
      <c r="N98" s="2">
        <f>Table1[[#This Row],[TotalSales]]/Table1[[#This Row],[TicketPrice]]*Table1[[#This Row],[TicketsSold]]</f>
        <v>3.6</v>
      </c>
      <c r="O98">
        <v>0</v>
      </c>
      <c r="P98">
        <v>1</v>
      </c>
    </row>
    <row r="99" spans="1:16" hidden="1" x14ac:dyDescent="0.3">
      <c r="A99">
        <v>5097</v>
      </c>
      <c r="B99" t="s">
        <v>86</v>
      </c>
      <c r="C99" t="s">
        <v>32</v>
      </c>
      <c r="D99" t="s">
        <v>18</v>
      </c>
      <c r="E99" t="s">
        <v>25</v>
      </c>
      <c r="F99" t="s">
        <v>20</v>
      </c>
      <c r="G99" t="s">
        <v>40</v>
      </c>
      <c r="H99">
        <v>0</v>
      </c>
      <c r="I99" s="3">
        <v>1385.41</v>
      </c>
      <c r="J99">
        <v>0</v>
      </c>
      <c r="K99" s="1">
        <v>0</v>
      </c>
      <c r="L99" t="s">
        <v>22</v>
      </c>
      <c r="M99" t="s">
        <v>30</v>
      </c>
      <c r="N99" s="2">
        <f>Table1[[#This Row],[TotalSales]]/Table1[[#This Row],[TicketPrice]]*Table1[[#This Row],[TicketsSold]]</f>
        <v>0</v>
      </c>
      <c r="O99">
        <v>1</v>
      </c>
      <c r="P99">
        <v>0</v>
      </c>
    </row>
    <row r="100" spans="1:16" hidden="1" x14ac:dyDescent="0.3">
      <c r="A100">
        <v>5098</v>
      </c>
      <c r="B100" t="s">
        <v>41</v>
      </c>
      <c r="C100" t="s">
        <v>28</v>
      </c>
      <c r="D100" t="s">
        <v>43</v>
      </c>
      <c r="E100" t="s">
        <v>19</v>
      </c>
      <c r="F100" t="s">
        <v>26</v>
      </c>
      <c r="G100" t="s">
        <v>40</v>
      </c>
      <c r="H100">
        <v>0</v>
      </c>
      <c r="I100" s="3">
        <v>408.9</v>
      </c>
      <c r="K100" s="1">
        <v>0</v>
      </c>
      <c r="L100" t="s">
        <v>30</v>
      </c>
      <c r="M100" t="s">
        <v>22</v>
      </c>
      <c r="N100" s="2">
        <f>Table1[[#This Row],[TotalSales]]/Table1[[#This Row],[TicketPrice]]*Table1[[#This Row],[TicketsSold]]</f>
        <v>0</v>
      </c>
      <c r="O100">
        <v>0</v>
      </c>
      <c r="P100">
        <v>1</v>
      </c>
    </row>
    <row r="101" spans="1:16" hidden="1" x14ac:dyDescent="0.3">
      <c r="A101">
        <v>5099</v>
      </c>
      <c r="B101" t="s">
        <v>77</v>
      </c>
      <c r="C101" t="s">
        <v>32</v>
      </c>
      <c r="D101" t="s">
        <v>18</v>
      </c>
      <c r="E101" t="s">
        <v>29</v>
      </c>
      <c r="F101" t="s">
        <v>34</v>
      </c>
      <c r="G101" t="s">
        <v>35</v>
      </c>
      <c r="H101">
        <v>0</v>
      </c>
      <c r="I101" s="3">
        <v>1120.57</v>
      </c>
      <c r="J101">
        <v>0.05</v>
      </c>
      <c r="K101" s="1">
        <v>0</v>
      </c>
      <c r="L101" t="s">
        <v>30</v>
      </c>
      <c r="M101" t="s">
        <v>22</v>
      </c>
      <c r="N101" s="2">
        <f>Table1[[#This Row],[TotalSales]]/Table1[[#This Row],[TicketPrice]]*Table1[[#This Row],[TicketsSold]]</f>
        <v>0</v>
      </c>
      <c r="O101">
        <v>0</v>
      </c>
      <c r="P101">
        <v>1</v>
      </c>
    </row>
    <row r="102" spans="1:16" x14ac:dyDescent="0.3">
      <c r="A102">
        <v>5100</v>
      </c>
      <c r="B102" t="s">
        <v>23</v>
      </c>
      <c r="C102" t="s">
        <v>28</v>
      </c>
      <c r="D102" t="s">
        <v>45</v>
      </c>
      <c r="E102" t="s">
        <v>25</v>
      </c>
      <c r="F102" t="s">
        <v>20</v>
      </c>
      <c r="G102" t="s">
        <v>21</v>
      </c>
      <c r="H102">
        <v>4</v>
      </c>
      <c r="I102" s="5">
        <v>498.79</v>
      </c>
      <c r="J102">
        <v>0</v>
      </c>
      <c r="K102" s="4">
        <v>1995.16</v>
      </c>
      <c r="L102" t="s">
        <v>30</v>
      </c>
      <c r="M102" t="s">
        <v>30</v>
      </c>
      <c r="N102" s="2">
        <f>Table1[[#This Row],[TotalSales]]/Table1[[#This Row],[TicketPrice]]*Table1[[#This Row],[TicketsSold]]</f>
        <v>16</v>
      </c>
      <c r="O102">
        <v>0</v>
      </c>
      <c r="P102">
        <v>0</v>
      </c>
    </row>
    <row r="103" spans="1:16" hidden="1" x14ac:dyDescent="0.3">
      <c r="A103">
        <v>5101</v>
      </c>
      <c r="B103" t="s">
        <v>63</v>
      </c>
      <c r="C103" t="s">
        <v>28</v>
      </c>
      <c r="D103" t="s">
        <v>33</v>
      </c>
      <c r="E103" t="s">
        <v>29</v>
      </c>
      <c r="F103" t="s">
        <v>26</v>
      </c>
      <c r="G103" t="s">
        <v>35</v>
      </c>
      <c r="H103">
        <v>0</v>
      </c>
      <c r="I103" s="3">
        <v>1141.8699999999999</v>
      </c>
      <c r="J103">
        <v>0.1</v>
      </c>
      <c r="K103" s="1">
        <v>0</v>
      </c>
      <c r="L103" t="s">
        <v>30</v>
      </c>
      <c r="M103" t="s">
        <v>30</v>
      </c>
      <c r="N103" s="2">
        <f>Table1[[#This Row],[TotalSales]]/Table1[[#This Row],[TicketPrice]]*Table1[[#This Row],[TicketsSold]]</f>
        <v>0</v>
      </c>
      <c r="O103">
        <v>0</v>
      </c>
      <c r="P103">
        <v>0</v>
      </c>
    </row>
    <row r="104" spans="1:16" x14ac:dyDescent="0.3">
      <c r="A104">
        <v>5102</v>
      </c>
      <c r="B104" t="s">
        <v>81</v>
      </c>
      <c r="C104" t="s">
        <v>32</v>
      </c>
      <c r="D104" t="s">
        <v>45</v>
      </c>
      <c r="E104" t="s">
        <v>19</v>
      </c>
      <c r="F104" t="s">
        <v>20</v>
      </c>
      <c r="G104" t="s">
        <v>21</v>
      </c>
      <c r="H104">
        <v>1</v>
      </c>
      <c r="I104" s="5">
        <v>734.79</v>
      </c>
      <c r="J104">
        <v>0.05</v>
      </c>
      <c r="K104" s="4">
        <v>698.05049999999994</v>
      </c>
      <c r="L104" t="s">
        <v>30</v>
      </c>
      <c r="M104" t="s">
        <v>30</v>
      </c>
      <c r="N104" s="2">
        <f>Table1[[#This Row],[TotalSales]]/Table1[[#This Row],[TicketPrice]]*Table1[[#This Row],[TicketsSold]]</f>
        <v>0.95</v>
      </c>
      <c r="O104">
        <v>0</v>
      </c>
      <c r="P104">
        <v>0</v>
      </c>
    </row>
    <row r="105" spans="1:16" x14ac:dyDescent="0.3">
      <c r="A105">
        <v>5103</v>
      </c>
      <c r="B105" t="s">
        <v>27</v>
      </c>
      <c r="C105" t="s">
        <v>28</v>
      </c>
      <c r="D105" t="s">
        <v>24</v>
      </c>
      <c r="E105" t="s">
        <v>25</v>
      </c>
      <c r="F105" t="s">
        <v>34</v>
      </c>
      <c r="G105" t="s">
        <v>21</v>
      </c>
      <c r="H105">
        <v>1</v>
      </c>
      <c r="I105" s="5">
        <v>1062.52</v>
      </c>
      <c r="J105">
        <v>0.05</v>
      </c>
      <c r="K105" s="4">
        <v>1009.3939999999999</v>
      </c>
      <c r="L105" t="s">
        <v>30</v>
      </c>
      <c r="M105" t="s">
        <v>30</v>
      </c>
      <c r="N105" s="2">
        <f>Table1[[#This Row],[TotalSales]]/Table1[[#This Row],[TicketPrice]]*Table1[[#This Row],[TicketsSold]]</f>
        <v>0.95</v>
      </c>
      <c r="O105">
        <v>0</v>
      </c>
      <c r="P105">
        <v>0</v>
      </c>
    </row>
    <row r="106" spans="1:16" x14ac:dyDescent="0.3">
      <c r="A106">
        <v>5104</v>
      </c>
      <c r="B106" t="s">
        <v>23</v>
      </c>
      <c r="C106" t="s">
        <v>28</v>
      </c>
      <c r="D106" t="s">
        <v>43</v>
      </c>
      <c r="E106" t="s">
        <v>29</v>
      </c>
      <c r="F106" t="s">
        <v>20</v>
      </c>
      <c r="G106" t="s">
        <v>21</v>
      </c>
      <c r="H106">
        <v>2</v>
      </c>
      <c r="I106" s="5">
        <v>964.95</v>
      </c>
      <c r="J106">
        <v>0.1</v>
      </c>
      <c r="K106" s="4">
        <v>1736.91</v>
      </c>
      <c r="L106" t="s">
        <v>30</v>
      </c>
      <c r="M106" t="s">
        <v>22</v>
      </c>
      <c r="N106" s="2">
        <f>Table1[[#This Row],[TotalSales]]/Table1[[#This Row],[TicketPrice]]*Table1[[#This Row],[TicketsSold]]</f>
        <v>3.6</v>
      </c>
      <c r="O106">
        <v>0</v>
      </c>
      <c r="P106">
        <v>1</v>
      </c>
    </row>
    <row r="107" spans="1:16" x14ac:dyDescent="0.3">
      <c r="A107">
        <v>5105</v>
      </c>
      <c r="B107" t="s">
        <v>27</v>
      </c>
      <c r="C107" t="s">
        <v>28</v>
      </c>
      <c r="D107" t="s">
        <v>33</v>
      </c>
      <c r="E107" t="s">
        <v>29</v>
      </c>
      <c r="F107" t="s">
        <v>26</v>
      </c>
      <c r="G107" t="s">
        <v>21</v>
      </c>
      <c r="H107">
        <v>2</v>
      </c>
      <c r="I107" s="5">
        <v>706.94</v>
      </c>
      <c r="J107">
        <v>0</v>
      </c>
      <c r="K107" s="4">
        <v>1413.88</v>
      </c>
      <c r="L107" t="s">
        <v>30</v>
      </c>
      <c r="M107" t="s">
        <v>22</v>
      </c>
      <c r="N107" s="2">
        <f>Table1[[#This Row],[TotalSales]]/Table1[[#This Row],[TicketPrice]]*Table1[[#This Row],[TicketsSold]]</f>
        <v>4</v>
      </c>
      <c r="O107">
        <v>0</v>
      </c>
      <c r="P107">
        <v>1</v>
      </c>
    </row>
    <row r="108" spans="1:16" hidden="1" x14ac:dyDescent="0.3">
      <c r="A108">
        <v>5106</v>
      </c>
      <c r="B108" t="s">
        <v>56</v>
      </c>
      <c r="C108" t="s">
        <v>28</v>
      </c>
      <c r="D108" t="s">
        <v>43</v>
      </c>
      <c r="E108" t="s">
        <v>29</v>
      </c>
      <c r="F108" t="s">
        <v>34</v>
      </c>
      <c r="G108" t="s">
        <v>21</v>
      </c>
      <c r="H108">
        <v>0</v>
      </c>
      <c r="I108" s="3">
        <v>352.47</v>
      </c>
      <c r="J108">
        <v>0.1</v>
      </c>
      <c r="K108" s="1">
        <v>0</v>
      </c>
      <c r="L108" t="s">
        <v>22</v>
      </c>
      <c r="M108" t="s">
        <v>30</v>
      </c>
      <c r="N108" s="2">
        <f>Table1[[#This Row],[TotalSales]]/Table1[[#This Row],[TicketPrice]]*Table1[[#This Row],[TicketsSold]]</f>
        <v>0</v>
      </c>
      <c r="O108">
        <v>1</v>
      </c>
      <c r="P108">
        <v>0</v>
      </c>
    </row>
    <row r="109" spans="1:16" x14ac:dyDescent="0.3">
      <c r="A109">
        <v>5107</v>
      </c>
      <c r="B109" t="s">
        <v>76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>
        <v>4</v>
      </c>
      <c r="I109" s="5">
        <v>130.75</v>
      </c>
      <c r="J109">
        <v>0</v>
      </c>
      <c r="K109" s="4">
        <v>523</v>
      </c>
      <c r="L109" t="s">
        <v>22</v>
      </c>
      <c r="M109" t="s">
        <v>30</v>
      </c>
      <c r="N109" s="2">
        <f>Table1[[#This Row],[TotalSales]]/Table1[[#This Row],[TicketPrice]]*Table1[[#This Row],[TicketsSold]]</f>
        <v>16</v>
      </c>
      <c r="O109">
        <v>1</v>
      </c>
      <c r="P109">
        <v>0</v>
      </c>
    </row>
    <row r="110" spans="1:16" x14ac:dyDescent="0.3">
      <c r="A110">
        <v>5108</v>
      </c>
      <c r="B110" t="s">
        <v>69</v>
      </c>
      <c r="C110" t="s">
        <v>32</v>
      </c>
      <c r="D110" t="s">
        <v>33</v>
      </c>
      <c r="E110" t="s">
        <v>25</v>
      </c>
      <c r="F110" t="s">
        <v>20</v>
      </c>
      <c r="G110" t="s">
        <v>21</v>
      </c>
      <c r="H110">
        <v>2</v>
      </c>
      <c r="I110" s="5">
        <v>120.16</v>
      </c>
      <c r="J110">
        <v>0</v>
      </c>
      <c r="K110" s="4">
        <v>240.32</v>
      </c>
      <c r="L110" t="s">
        <v>30</v>
      </c>
      <c r="M110" t="s">
        <v>30</v>
      </c>
      <c r="N110" s="2">
        <f>Table1[[#This Row],[TotalSales]]/Table1[[#This Row],[TicketPrice]]*Table1[[#This Row],[TicketsSold]]</f>
        <v>4</v>
      </c>
      <c r="O110">
        <v>0</v>
      </c>
      <c r="P110">
        <v>0</v>
      </c>
    </row>
    <row r="111" spans="1:16" hidden="1" x14ac:dyDescent="0.3">
      <c r="A111">
        <v>5109</v>
      </c>
      <c r="B111" t="s">
        <v>31</v>
      </c>
      <c r="C111" t="s">
        <v>32</v>
      </c>
      <c r="D111" t="s">
        <v>46</v>
      </c>
      <c r="E111" t="s">
        <v>29</v>
      </c>
      <c r="F111" t="s">
        <v>26</v>
      </c>
      <c r="G111" t="s">
        <v>35</v>
      </c>
      <c r="H111">
        <v>0</v>
      </c>
      <c r="I111" s="3">
        <v>323.92</v>
      </c>
      <c r="J111">
        <v>0.05</v>
      </c>
      <c r="K111" s="1">
        <v>0</v>
      </c>
      <c r="L111" t="s">
        <v>22</v>
      </c>
      <c r="M111" t="s">
        <v>22</v>
      </c>
      <c r="N111" s="2">
        <f>Table1[[#This Row],[TotalSales]]/Table1[[#This Row],[TicketPrice]]*Table1[[#This Row],[TicketsSold]]</f>
        <v>0</v>
      </c>
      <c r="O111">
        <v>1</v>
      </c>
      <c r="P111">
        <v>1</v>
      </c>
    </row>
    <row r="112" spans="1:16" x14ac:dyDescent="0.3">
      <c r="A112">
        <v>5110</v>
      </c>
      <c r="B112" t="s">
        <v>16</v>
      </c>
      <c r="C112" t="s">
        <v>32</v>
      </c>
      <c r="D112" t="s">
        <v>45</v>
      </c>
      <c r="E112" t="s">
        <v>19</v>
      </c>
      <c r="F112" t="s">
        <v>34</v>
      </c>
      <c r="G112" t="s">
        <v>40</v>
      </c>
      <c r="H112">
        <v>2</v>
      </c>
      <c r="I112" s="5">
        <v>249.7</v>
      </c>
      <c r="J112">
        <v>0.1</v>
      </c>
      <c r="K112" s="4">
        <v>449.46</v>
      </c>
      <c r="L112" t="s">
        <v>22</v>
      </c>
      <c r="M112" t="s">
        <v>30</v>
      </c>
      <c r="N112" s="2">
        <f>Table1[[#This Row],[TotalSales]]/Table1[[#This Row],[TicketPrice]]*Table1[[#This Row],[TicketsSold]]</f>
        <v>3.6</v>
      </c>
      <c r="O112">
        <v>1</v>
      </c>
      <c r="P112">
        <v>0</v>
      </c>
    </row>
    <row r="113" spans="1:16" x14ac:dyDescent="0.3">
      <c r="A113">
        <v>5111</v>
      </c>
      <c r="B113" t="s">
        <v>87</v>
      </c>
      <c r="C113" t="s">
        <v>17</v>
      </c>
      <c r="D113" t="s">
        <v>43</v>
      </c>
      <c r="E113" t="s">
        <v>29</v>
      </c>
      <c r="F113" t="s">
        <v>34</v>
      </c>
      <c r="G113" t="s">
        <v>21</v>
      </c>
      <c r="H113">
        <v>1</v>
      </c>
      <c r="I113" s="5">
        <v>1204.74</v>
      </c>
      <c r="J113">
        <v>0</v>
      </c>
      <c r="K113" s="4">
        <v>1204.74</v>
      </c>
      <c r="L113" t="s">
        <v>22</v>
      </c>
      <c r="M113" t="s">
        <v>30</v>
      </c>
      <c r="N113" s="2">
        <f>Table1[[#This Row],[TotalSales]]/Table1[[#This Row],[TicketPrice]]*Table1[[#This Row],[TicketsSold]]</f>
        <v>1</v>
      </c>
      <c r="O113">
        <v>1</v>
      </c>
      <c r="P113">
        <v>0</v>
      </c>
    </row>
    <row r="114" spans="1:16" x14ac:dyDescent="0.3">
      <c r="A114">
        <v>5112</v>
      </c>
      <c r="B114" t="s">
        <v>71</v>
      </c>
      <c r="C114" t="s">
        <v>32</v>
      </c>
      <c r="D114" t="s">
        <v>33</v>
      </c>
      <c r="E114" t="s">
        <v>19</v>
      </c>
      <c r="F114" t="s">
        <v>34</v>
      </c>
      <c r="G114" t="s">
        <v>35</v>
      </c>
      <c r="H114">
        <v>3</v>
      </c>
      <c r="I114" s="5">
        <v>1181.82</v>
      </c>
      <c r="J114">
        <v>0</v>
      </c>
      <c r="K114" s="4">
        <v>3545.46</v>
      </c>
      <c r="L114" t="s">
        <v>30</v>
      </c>
      <c r="M114" t="s">
        <v>22</v>
      </c>
      <c r="N114" s="2">
        <f>Table1[[#This Row],[TotalSales]]/Table1[[#This Row],[TicketPrice]]*Table1[[#This Row],[TicketsSold]]</f>
        <v>9</v>
      </c>
      <c r="O114">
        <v>0</v>
      </c>
      <c r="P114">
        <v>1</v>
      </c>
    </row>
    <row r="115" spans="1:16" x14ac:dyDescent="0.3">
      <c r="A115">
        <v>5113</v>
      </c>
      <c r="B115" t="s">
        <v>73</v>
      </c>
      <c r="C115" t="s">
        <v>32</v>
      </c>
      <c r="D115" t="s">
        <v>33</v>
      </c>
      <c r="E115" t="s">
        <v>29</v>
      </c>
      <c r="F115" t="s">
        <v>26</v>
      </c>
      <c r="G115" t="s">
        <v>40</v>
      </c>
      <c r="H115">
        <v>4</v>
      </c>
      <c r="I115" s="5">
        <v>1175.3399999999999</v>
      </c>
      <c r="J115">
        <v>0</v>
      </c>
      <c r="K115" s="4">
        <v>4701.3599999999997</v>
      </c>
      <c r="L115" t="s">
        <v>30</v>
      </c>
      <c r="M115" t="s">
        <v>22</v>
      </c>
      <c r="N115" s="2">
        <f>Table1[[#This Row],[TotalSales]]/Table1[[#This Row],[TicketPrice]]*Table1[[#This Row],[TicketsSold]]</f>
        <v>16</v>
      </c>
      <c r="O115">
        <v>0</v>
      </c>
      <c r="P115">
        <v>1</v>
      </c>
    </row>
    <row r="116" spans="1:16" x14ac:dyDescent="0.3">
      <c r="A116">
        <v>5114</v>
      </c>
      <c r="B116" t="s">
        <v>78</v>
      </c>
      <c r="C116" t="s">
        <v>28</v>
      </c>
      <c r="D116" t="s">
        <v>18</v>
      </c>
      <c r="E116" t="s">
        <v>19</v>
      </c>
      <c r="F116" t="s">
        <v>20</v>
      </c>
      <c r="G116" t="s">
        <v>21</v>
      </c>
      <c r="H116">
        <v>2</v>
      </c>
      <c r="I116" s="5">
        <v>422.83</v>
      </c>
      <c r="J116">
        <v>0.05</v>
      </c>
      <c r="K116" s="4">
        <v>803.37699999999995</v>
      </c>
      <c r="L116" t="s">
        <v>22</v>
      </c>
      <c r="M116" t="s">
        <v>30</v>
      </c>
      <c r="N116" s="2">
        <f>Table1[[#This Row],[TotalSales]]/Table1[[#This Row],[TicketPrice]]*Table1[[#This Row],[TicketsSold]]</f>
        <v>3.8</v>
      </c>
      <c r="O116">
        <v>1</v>
      </c>
      <c r="P116">
        <v>0</v>
      </c>
    </row>
    <row r="117" spans="1:16" hidden="1" x14ac:dyDescent="0.3">
      <c r="A117">
        <v>5115</v>
      </c>
      <c r="B117" t="s">
        <v>88</v>
      </c>
      <c r="C117" t="s">
        <v>17</v>
      </c>
      <c r="D117" t="s">
        <v>43</v>
      </c>
      <c r="E117" t="s">
        <v>29</v>
      </c>
      <c r="F117" t="s">
        <v>34</v>
      </c>
      <c r="G117" t="s">
        <v>21</v>
      </c>
      <c r="H117">
        <v>0</v>
      </c>
      <c r="I117" s="3">
        <v>479.61</v>
      </c>
      <c r="J117">
        <v>0</v>
      </c>
      <c r="K117" s="1">
        <v>0</v>
      </c>
      <c r="L117" t="s">
        <v>22</v>
      </c>
      <c r="M117" t="s">
        <v>30</v>
      </c>
      <c r="N117" s="2">
        <f>Table1[[#This Row],[TotalSales]]/Table1[[#This Row],[TicketPrice]]*Table1[[#This Row],[TicketsSold]]</f>
        <v>0</v>
      </c>
      <c r="O117">
        <v>1</v>
      </c>
      <c r="P117">
        <v>0</v>
      </c>
    </row>
    <row r="118" spans="1:16" x14ac:dyDescent="0.3">
      <c r="A118">
        <v>5116</v>
      </c>
      <c r="B118" t="s">
        <v>63</v>
      </c>
      <c r="C118" t="s">
        <v>28</v>
      </c>
      <c r="D118" t="s">
        <v>46</v>
      </c>
      <c r="E118" t="s">
        <v>25</v>
      </c>
      <c r="F118" t="s">
        <v>34</v>
      </c>
      <c r="G118" t="s">
        <v>40</v>
      </c>
      <c r="H118">
        <v>2</v>
      </c>
      <c r="I118" s="5">
        <v>330.49</v>
      </c>
      <c r="J118">
        <v>0.05</v>
      </c>
      <c r="K118" s="4">
        <v>627.93100000000004</v>
      </c>
      <c r="L118" t="s">
        <v>22</v>
      </c>
      <c r="M118" t="s">
        <v>30</v>
      </c>
      <c r="N118" s="2">
        <f>Table1[[#This Row],[TotalSales]]/Table1[[#This Row],[TicketPrice]]*Table1[[#This Row],[TicketsSold]]</f>
        <v>3.8000000000000003</v>
      </c>
      <c r="O118">
        <v>1</v>
      </c>
      <c r="P118">
        <v>0</v>
      </c>
    </row>
    <row r="119" spans="1:16" hidden="1" x14ac:dyDescent="0.3">
      <c r="A119">
        <v>5117</v>
      </c>
      <c r="B119" t="s">
        <v>68</v>
      </c>
      <c r="C119" t="s">
        <v>32</v>
      </c>
      <c r="D119" t="s">
        <v>33</v>
      </c>
      <c r="E119" t="s">
        <v>29</v>
      </c>
      <c r="F119" t="s">
        <v>26</v>
      </c>
      <c r="G119" t="s">
        <v>21</v>
      </c>
      <c r="H119">
        <v>0</v>
      </c>
      <c r="I119" s="3">
        <v>1019.66</v>
      </c>
      <c r="J119">
        <v>0</v>
      </c>
      <c r="K119" s="1">
        <v>0</v>
      </c>
      <c r="L119" t="s">
        <v>22</v>
      </c>
      <c r="M119" t="s">
        <v>30</v>
      </c>
      <c r="N119" s="2">
        <f>Table1[[#This Row],[TotalSales]]/Table1[[#This Row],[TicketPrice]]*Table1[[#This Row],[TicketsSold]]</f>
        <v>0</v>
      </c>
      <c r="O119">
        <v>1</v>
      </c>
      <c r="P119">
        <v>0</v>
      </c>
    </row>
    <row r="120" spans="1:16" hidden="1" x14ac:dyDescent="0.3">
      <c r="A120">
        <v>5118</v>
      </c>
      <c r="B120" t="s">
        <v>63</v>
      </c>
      <c r="C120" t="s">
        <v>17</v>
      </c>
      <c r="D120" t="s">
        <v>24</v>
      </c>
      <c r="E120" t="s">
        <v>25</v>
      </c>
      <c r="F120" t="s">
        <v>34</v>
      </c>
      <c r="G120" t="s">
        <v>21</v>
      </c>
      <c r="H120">
        <v>0</v>
      </c>
      <c r="I120" s="3">
        <v>778.11</v>
      </c>
      <c r="J120">
        <v>0</v>
      </c>
      <c r="K120" s="1">
        <v>0</v>
      </c>
      <c r="L120" t="s">
        <v>30</v>
      </c>
      <c r="M120" t="s">
        <v>30</v>
      </c>
      <c r="N120" s="2">
        <f>Table1[[#This Row],[TotalSales]]/Table1[[#This Row],[TicketPrice]]*Table1[[#This Row],[TicketsSold]]</f>
        <v>0</v>
      </c>
      <c r="O120">
        <v>0</v>
      </c>
      <c r="P120">
        <v>0</v>
      </c>
    </row>
    <row r="121" spans="1:16" x14ac:dyDescent="0.3">
      <c r="A121">
        <v>5119</v>
      </c>
      <c r="B121" t="s">
        <v>56</v>
      </c>
      <c r="C121" t="s">
        <v>28</v>
      </c>
      <c r="D121" t="s">
        <v>18</v>
      </c>
      <c r="E121" t="s">
        <v>29</v>
      </c>
      <c r="F121" t="s">
        <v>34</v>
      </c>
      <c r="G121" t="s">
        <v>21</v>
      </c>
      <c r="H121">
        <v>1</v>
      </c>
      <c r="I121" s="5">
        <v>1371.58</v>
      </c>
      <c r="J121">
        <v>0.05</v>
      </c>
      <c r="K121" s="4">
        <v>1303.001</v>
      </c>
      <c r="L121" t="s">
        <v>22</v>
      </c>
      <c r="M121" t="s">
        <v>30</v>
      </c>
      <c r="N121" s="2">
        <f>Table1[[#This Row],[TotalSales]]/Table1[[#This Row],[TicketPrice]]*Table1[[#This Row],[TicketsSold]]</f>
        <v>0.95000000000000007</v>
      </c>
      <c r="O121">
        <v>1</v>
      </c>
      <c r="P121">
        <v>0</v>
      </c>
    </row>
    <row r="122" spans="1:16" x14ac:dyDescent="0.3">
      <c r="A122">
        <v>5120</v>
      </c>
      <c r="B122" t="s">
        <v>57</v>
      </c>
      <c r="C122" t="s">
        <v>32</v>
      </c>
      <c r="D122" t="s">
        <v>45</v>
      </c>
      <c r="E122" t="s">
        <v>25</v>
      </c>
      <c r="F122" t="s">
        <v>20</v>
      </c>
      <c r="G122" t="s">
        <v>40</v>
      </c>
      <c r="H122">
        <v>2</v>
      </c>
      <c r="I122" s="5">
        <v>981.43</v>
      </c>
      <c r="J122">
        <v>0.05</v>
      </c>
      <c r="K122" s="4">
        <v>1864.7169999999999</v>
      </c>
      <c r="L122" t="s">
        <v>22</v>
      </c>
      <c r="M122" t="s">
        <v>30</v>
      </c>
      <c r="N122" s="2">
        <f>Table1[[#This Row],[TotalSales]]/Table1[[#This Row],[TicketPrice]]*Table1[[#This Row],[TicketsSold]]</f>
        <v>3.8</v>
      </c>
      <c r="O122">
        <v>1</v>
      </c>
      <c r="P122">
        <v>0</v>
      </c>
    </row>
    <row r="123" spans="1:16" x14ac:dyDescent="0.3">
      <c r="A123">
        <v>5121</v>
      </c>
      <c r="B123" t="s">
        <v>88</v>
      </c>
      <c r="C123" t="s">
        <v>32</v>
      </c>
      <c r="D123" t="s">
        <v>18</v>
      </c>
      <c r="E123" t="s">
        <v>29</v>
      </c>
      <c r="F123" t="s">
        <v>20</v>
      </c>
      <c r="G123" t="s">
        <v>35</v>
      </c>
      <c r="H123">
        <v>5</v>
      </c>
      <c r="I123" s="5">
        <v>1477.1</v>
      </c>
      <c r="J123">
        <v>0.1</v>
      </c>
      <c r="K123" s="4">
        <v>6646.95</v>
      </c>
      <c r="L123" t="s">
        <v>22</v>
      </c>
      <c r="M123" t="s">
        <v>22</v>
      </c>
      <c r="N123" s="2">
        <f>Table1[[#This Row],[TotalSales]]/Table1[[#This Row],[TicketPrice]]*Table1[[#This Row],[TicketsSold]]</f>
        <v>22.5</v>
      </c>
      <c r="O123">
        <v>1</v>
      </c>
      <c r="P123">
        <v>1</v>
      </c>
    </row>
    <row r="124" spans="1:16" hidden="1" x14ac:dyDescent="0.3">
      <c r="A124">
        <v>5122</v>
      </c>
      <c r="B124" t="s">
        <v>89</v>
      </c>
      <c r="C124" t="s">
        <v>32</v>
      </c>
      <c r="D124" t="s">
        <v>43</v>
      </c>
      <c r="E124" t="s">
        <v>25</v>
      </c>
      <c r="F124" t="s">
        <v>20</v>
      </c>
      <c r="G124" t="s">
        <v>40</v>
      </c>
      <c r="H124">
        <v>0</v>
      </c>
      <c r="I124" s="3">
        <v>1460</v>
      </c>
      <c r="J124">
        <v>0</v>
      </c>
      <c r="K124" s="1">
        <v>0</v>
      </c>
      <c r="L124" t="s">
        <v>22</v>
      </c>
      <c r="M124" t="s">
        <v>22</v>
      </c>
      <c r="N124" s="2">
        <f>Table1[[#This Row],[TotalSales]]/Table1[[#This Row],[TicketPrice]]*Table1[[#This Row],[TicketsSold]]</f>
        <v>0</v>
      </c>
      <c r="O124">
        <v>1</v>
      </c>
      <c r="P124">
        <v>1</v>
      </c>
    </row>
    <row r="125" spans="1:16" x14ac:dyDescent="0.3">
      <c r="A125">
        <v>5123</v>
      </c>
      <c r="B125" t="s">
        <v>55</v>
      </c>
      <c r="C125" t="s">
        <v>17</v>
      </c>
      <c r="D125" t="s">
        <v>33</v>
      </c>
      <c r="E125" t="s">
        <v>29</v>
      </c>
      <c r="F125" t="s">
        <v>34</v>
      </c>
      <c r="G125" t="s">
        <v>40</v>
      </c>
      <c r="H125">
        <v>2</v>
      </c>
      <c r="I125" s="5">
        <v>1096.6400000000001</v>
      </c>
      <c r="J125">
        <v>0.05</v>
      </c>
      <c r="K125" s="4">
        <v>2083.616</v>
      </c>
      <c r="L125" t="s">
        <v>30</v>
      </c>
      <c r="M125" t="s">
        <v>30</v>
      </c>
      <c r="N125" s="2">
        <f>Table1[[#This Row],[TotalSales]]/Table1[[#This Row],[TicketPrice]]*Table1[[#This Row],[TicketsSold]]</f>
        <v>3.8</v>
      </c>
      <c r="O125">
        <v>0</v>
      </c>
      <c r="P125">
        <v>0</v>
      </c>
    </row>
    <row r="126" spans="1:16" hidden="1" x14ac:dyDescent="0.3">
      <c r="A126">
        <v>5124</v>
      </c>
      <c r="B126" t="s">
        <v>72</v>
      </c>
      <c r="C126" t="s">
        <v>28</v>
      </c>
      <c r="D126" t="s">
        <v>33</v>
      </c>
      <c r="E126" t="s">
        <v>19</v>
      </c>
      <c r="F126" t="s">
        <v>20</v>
      </c>
      <c r="G126" t="s">
        <v>35</v>
      </c>
      <c r="H126">
        <v>0</v>
      </c>
      <c r="I126" s="3">
        <v>970.2</v>
      </c>
      <c r="J126">
        <v>0</v>
      </c>
      <c r="K126" s="1">
        <v>0</v>
      </c>
      <c r="L126" t="s">
        <v>30</v>
      </c>
      <c r="M126" t="s">
        <v>22</v>
      </c>
      <c r="N126" s="2">
        <f>Table1[[#This Row],[TotalSales]]/Table1[[#This Row],[TicketPrice]]*Table1[[#This Row],[TicketsSold]]</f>
        <v>0</v>
      </c>
      <c r="O126">
        <v>0</v>
      </c>
      <c r="P126">
        <v>1</v>
      </c>
    </row>
    <row r="127" spans="1:16" x14ac:dyDescent="0.3">
      <c r="A127">
        <v>5125</v>
      </c>
      <c r="B127" t="s">
        <v>44</v>
      </c>
      <c r="C127" t="s">
        <v>17</v>
      </c>
      <c r="D127" t="s">
        <v>46</v>
      </c>
      <c r="E127" t="s">
        <v>29</v>
      </c>
      <c r="F127" t="s">
        <v>20</v>
      </c>
      <c r="G127" t="s">
        <v>40</v>
      </c>
      <c r="H127">
        <v>1</v>
      </c>
      <c r="I127" s="5">
        <v>1443.98</v>
      </c>
      <c r="J127">
        <v>0.1</v>
      </c>
      <c r="K127" s="4">
        <v>1299.5820000000001</v>
      </c>
      <c r="L127" t="s">
        <v>22</v>
      </c>
      <c r="M127" t="s">
        <v>30</v>
      </c>
      <c r="N127" s="2">
        <f>Table1[[#This Row],[TotalSales]]/Table1[[#This Row],[TicketPrice]]*Table1[[#This Row],[TicketsSold]]</f>
        <v>0.9</v>
      </c>
      <c r="O127">
        <v>1</v>
      </c>
      <c r="P127">
        <v>0</v>
      </c>
    </row>
    <row r="128" spans="1:16" hidden="1" x14ac:dyDescent="0.3">
      <c r="A128">
        <v>5126</v>
      </c>
      <c r="B128" t="s">
        <v>74</v>
      </c>
      <c r="C128" t="s">
        <v>32</v>
      </c>
      <c r="D128" t="s">
        <v>43</v>
      </c>
      <c r="E128" t="s">
        <v>29</v>
      </c>
      <c r="F128" t="s">
        <v>20</v>
      </c>
      <c r="G128" t="s">
        <v>21</v>
      </c>
      <c r="H128">
        <v>0</v>
      </c>
      <c r="I128" s="3">
        <v>1022.2</v>
      </c>
      <c r="J128">
        <v>0</v>
      </c>
      <c r="K128" s="1">
        <v>0</v>
      </c>
      <c r="L128" t="s">
        <v>30</v>
      </c>
      <c r="M128" t="s">
        <v>22</v>
      </c>
      <c r="N128" s="2">
        <f>Table1[[#This Row],[TotalSales]]/Table1[[#This Row],[TicketPrice]]*Table1[[#This Row],[TicketsSold]]</f>
        <v>0</v>
      </c>
      <c r="O128">
        <v>0</v>
      </c>
      <c r="P128">
        <v>1</v>
      </c>
    </row>
    <row r="129" spans="1:16" hidden="1" x14ac:dyDescent="0.3">
      <c r="A129">
        <v>5127</v>
      </c>
      <c r="B129" t="s">
        <v>60</v>
      </c>
      <c r="C129" t="s">
        <v>32</v>
      </c>
      <c r="D129" t="s">
        <v>18</v>
      </c>
      <c r="E129" t="s">
        <v>29</v>
      </c>
      <c r="F129" t="s">
        <v>34</v>
      </c>
      <c r="G129" t="s">
        <v>21</v>
      </c>
      <c r="H129">
        <v>0</v>
      </c>
      <c r="I129" s="3">
        <v>1071.2</v>
      </c>
      <c r="J129">
        <v>0.05</v>
      </c>
      <c r="K129" s="1">
        <v>0</v>
      </c>
      <c r="L129" t="s">
        <v>22</v>
      </c>
      <c r="M129" t="s">
        <v>22</v>
      </c>
      <c r="N129" s="2">
        <f>Table1[[#This Row],[TotalSales]]/Table1[[#This Row],[TicketPrice]]*Table1[[#This Row],[TicketsSold]]</f>
        <v>0</v>
      </c>
      <c r="O129">
        <v>1</v>
      </c>
      <c r="P129">
        <v>1</v>
      </c>
    </row>
    <row r="130" spans="1:16" x14ac:dyDescent="0.3">
      <c r="A130">
        <v>5128</v>
      </c>
      <c r="B130" t="s">
        <v>51</v>
      </c>
      <c r="C130" t="s">
        <v>32</v>
      </c>
      <c r="D130" t="s">
        <v>24</v>
      </c>
      <c r="E130" t="s">
        <v>29</v>
      </c>
      <c r="F130" t="s">
        <v>34</v>
      </c>
      <c r="G130" t="s">
        <v>35</v>
      </c>
      <c r="H130">
        <v>1</v>
      </c>
      <c r="I130" s="5">
        <v>185.77</v>
      </c>
      <c r="J130">
        <v>0</v>
      </c>
      <c r="K130" s="4">
        <v>185.77</v>
      </c>
      <c r="L130" t="s">
        <v>22</v>
      </c>
      <c r="M130" t="s">
        <v>22</v>
      </c>
      <c r="N130" s="2">
        <f>Table1[[#This Row],[TotalSales]]/Table1[[#This Row],[TicketPrice]]*Table1[[#This Row],[TicketsSold]]</f>
        <v>1</v>
      </c>
      <c r="O130">
        <v>1</v>
      </c>
      <c r="P130">
        <v>1</v>
      </c>
    </row>
    <row r="131" spans="1:16" x14ac:dyDescent="0.3">
      <c r="A131">
        <v>5129</v>
      </c>
      <c r="B131" t="s">
        <v>52</v>
      </c>
      <c r="C131" t="s">
        <v>17</v>
      </c>
      <c r="D131" t="s">
        <v>24</v>
      </c>
      <c r="E131" t="s">
        <v>29</v>
      </c>
      <c r="F131" t="s">
        <v>34</v>
      </c>
      <c r="G131" t="s">
        <v>21</v>
      </c>
      <c r="H131">
        <v>1</v>
      </c>
      <c r="I131" s="5">
        <v>332.97</v>
      </c>
      <c r="J131">
        <v>0</v>
      </c>
      <c r="K131" s="4">
        <v>332.97</v>
      </c>
      <c r="L131" t="s">
        <v>30</v>
      </c>
      <c r="M131" t="s">
        <v>30</v>
      </c>
      <c r="N131" s="2">
        <f>Table1[[#This Row],[TotalSales]]/Table1[[#This Row],[TicketPrice]]*Table1[[#This Row],[TicketsSold]]</f>
        <v>1</v>
      </c>
      <c r="O131">
        <v>0</v>
      </c>
      <c r="P131">
        <v>0</v>
      </c>
    </row>
    <row r="132" spans="1:16" x14ac:dyDescent="0.3">
      <c r="A132">
        <v>5130</v>
      </c>
      <c r="B132" t="s">
        <v>16</v>
      </c>
      <c r="C132" t="s">
        <v>32</v>
      </c>
      <c r="D132" t="s">
        <v>45</v>
      </c>
      <c r="E132" t="s">
        <v>29</v>
      </c>
      <c r="F132" t="s">
        <v>26</v>
      </c>
      <c r="G132" t="s">
        <v>21</v>
      </c>
      <c r="H132">
        <v>4</v>
      </c>
      <c r="I132" s="5">
        <v>833.99</v>
      </c>
      <c r="J132">
        <v>0</v>
      </c>
      <c r="K132" s="4">
        <v>3335.96</v>
      </c>
      <c r="L132" t="s">
        <v>30</v>
      </c>
      <c r="M132" t="s">
        <v>22</v>
      </c>
      <c r="N132" s="2">
        <f>Table1[[#This Row],[TotalSales]]/Table1[[#This Row],[TicketPrice]]*Table1[[#This Row],[TicketsSold]]</f>
        <v>16</v>
      </c>
      <c r="O132">
        <v>0</v>
      </c>
      <c r="P132">
        <v>1</v>
      </c>
    </row>
    <row r="133" spans="1:16" x14ac:dyDescent="0.3">
      <c r="A133">
        <v>5131</v>
      </c>
      <c r="B133" t="s">
        <v>84</v>
      </c>
      <c r="C133" t="s">
        <v>28</v>
      </c>
      <c r="D133" t="s">
        <v>24</v>
      </c>
      <c r="E133" t="s">
        <v>19</v>
      </c>
      <c r="F133" t="s">
        <v>34</v>
      </c>
      <c r="G133" t="s">
        <v>40</v>
      </c>
      <c r="H133">
        <v>1</v>
      </c>
      <c r="I133" s="5">
        <v>790.43</v>
      </c>
      <c r="J133">
        <v>0.05</v>
      </c>
      <c r="K133" s="4">
        <v>750.90849999999989</v>
      </c>
      <c r="L133" t="s">
        <v>22</v>
      </c>
      <c r="M133" t="s">
        <v>30</v>
      </c>
      <c r="N133" s="2">
        <f>Table1[[#This Row],[TotalSales]]/Table1[[#This Row],[TicketPrice]]*Table1[[#This Row],[TicketsSold]]</f>
        <v>0.95</v>
      </c>
      <c r="O133">
        <v>1</v>
      </c>
      <c r="P133">
        <v>0</v>
      </c>
    </row>
    <row r="134" spans="1:16" x14ac:dyDescent="0.3">
      <c r="A134">
        <v>5132</v>
      </c>
      <c r="B134" t="s">
        <v>42</v>
      </c>
      <c r="C134" t="s">
        <v>28</v>
      </c>
      <c r="D134" t="s">
        <v>45</v>
      </c>
      <c r="E134" t="s">
        <v>19</v>
      </c>
      <c r="F134" t="s">
        <v>20</v>
      </c>
      <c r="G134" t="s">
        <v>40</v>
      </c>
      <c r="H134">
        <v>2</v>
      </c>
      <c r="I134" s="5">
        <v>1003.98</v>
      </c>
      <c r="J134">
        <v>0</v>
      </c>
      <c r="K134" s="4">
        <v>2007.96</v>
      </c>
      <c r="L134" t="s">
        <v>22</v>
      </c>
      <c r="M134" t="s">
        <v>30</v>
      </c>
      <c r="N134" s="2">
        <f>Table1[[#This Row],[TotalSales]]/Table1[[#This Row],[TicketPrice]]*Table1[[#This Row],[TicketsSold]]</f>
        <v>4</v>
      </c>
      <c r="O134">
        <v>1</v>
      </c>
      <c r="P134">
        <v>0</v>
      </c>
    </row>
    <row r="135" spans="1:16" hidden="1" x14ac:dyDescent="0.3">
      <c r="A135">
        <v>5133</v>
      </c>
      <c r="B135" t="s">
        <v>57</v>
      </c>
      <c r="C135" t="s">
        <v>17</v>
      </c>
      <c r="D135" t="s">
        <v>24</v>
      </c>
      <c r="E135" t="s">
        <v>25</v>
      </c>
      <c r="F135" t="s">
        <v>20</v>
      </c>
      <c r="G135" t="s">
        <v>35</v>
      </c>
      <c r="H135">
        <v>0</v>
      </c>
      <c r="I135" s="3">
        <v>594.30999999999995</v>
      </c>
      <c r="J135">
        <v>0</v>
      </c>
      <c r="K135" s="1">
        <v>0</v>
      </c>
      <c r="L135" t="s">
        <v>22</v>
      </c>
      <c r="M135" t="s">
        <v>30</v>
      </c>
      <c r="N135" s="2">
        <f>Table1[[#This Row],[TotalSales]]/Table1[[#This Row],[TicketPrice]]*Table1[[#This Row],[TicketsSold]]</f>
        <v>0</v>
      </c>
      <c r="O135">
        <v>1</v>
      </c>
      <c r="P135">
        <v>0</v>
      </c>
    </row>
    <row r="136" spans="1:16" hidden="1" x14ac:dyDescent="0.3">
      <c r="A136">
        <v>5134</v>
      </c>
      <c r="B136" t="s">
        <v>88</v>
      </c>
      <c r="C136" t="s">
        <v>28</v>
      </c>
      <c r="D136" t="s">
        <v>43</v>
      </c>
      <c r="E136" t="s">
        <v>19</v>
      </c>
      <c r="F136" t="s">
        <v>34</v>
      </c>
      <c r="G136" t="s">
        <v>40</v>
      </c>
      <c r="H136">
        <v>0</v>
      </c>
      <c r="I136" s="3">
        <v>787.74</v>
      </c>
      <c r="J136">
        <v>0.05</v>
      </c>
      <c r="K136" s="1">
        <v>0</v>
      </c>
      <c r="L136" t="s">
        <v>30</v>
      </c>
      <c r="M136" t="s">
        <v>30</v>
      </c>
      <c r="N136" s="2">
        <f>Table1[[#This Row],[TotalSales]]/Table1[[#This Row],[TicketPrice]]*Table1[[#This Row],[TicketsSold]]</f>
        <v>0</v>
      </c>
      <c r="O136">
        <v>0</v>
      </c>
      <c r="P136">
        <v>0</v>
      </c>
    </row>
    <row r="137" spans="1:16" x14ac:dyDescent="0.3">
      <c r="A137">
        <v>5135</v>
      </c>
      <c r="B137" t="s">
        <v>63</v>
      </c>
      <c r="C137" t="s">
        <v>28</v>
      </c>
      <c r="D137" t="s">
        <v>18</v>
      </c>
      <c r="E137" t="s">
        <v>25</v>
      </c>
      <c r="F137" t="s">
        <v>20</v>
      </c>
      <c r="G137" t="s">
        <v>21</v>
      </c>
      <c r="H137">
        <v>2</v>
      </c>
      <c r="I137" s="5">
        <v>1096.3499999999999</v>
      </c>
      <c r="J137">
        <v>0.1</v>
      </c>
      <c r="K137" s="4">
        <v>1973.4299999999998</v>
      </c>
      <c r="L137" t="s">
        <v>30</v>
      </c>
      <c r="M137" t="s">
        <v>22</v>
      </c>
      <c r="N137" s="2">
        <f>Table1[[#This Row],[TotalSales]]/Table1[[#This Row],[TicketPrice]]*Table1[[#This Row],[TicketsSold]]</f>
        <v>3.6</v>
      </c>
      <c r="O137">
        <v>0</v>
      </c>
      <c r="P137">
        <v>1</v>
      </c>
    </row>
    <row r="138" spans="1:16" x14ac:dyDescent="0.3">
      <c r="A138">
        <v>5136</v>
      </c>
      <c r="B138" t="s">
        <v>89</v>
      </c>
      <c r="C138" t="s">
        <v>32</v>
      </c>
      <c r="D138" t="s">
        <v>46</v>
      </c>
      <c r="E138" t="s">
        <v>25</v>
      </c>
      <c r="F138" t="s">
        <v>26</v>
      </c>
      <c r="G138" t="s">
        <v>21</v>
      </c>
      <c r="H138">
        <v>1</v>
      </c>
      <c r="I138" s="5">
        <v>248.81</v>
      </c>
      <c r="J138">
        <v>0.05</v>
      </c>
      <c r="K138" s="4">
        <v>236.36949999999999</v>
      </c>
      <c r="L138" t="s">
        <v>30</v>
      </c>
      <c r="M138" t="s">
        <v>22</v>
      </c>
      <c r="N138" s="2">
        <f>Table1[[#This Row],[TotalSales]]/Table1[[#This Row],[TicketPrice]]*Table1[[#This Row],[TicketsSold]]</f>
        <v>0.95</v>
      </c>
      <c r="O138">
        <v>0</v>
      </c>
      <c r="P138">
        <v>1</v>
      </c>
    </row>
    <row r="139" spans="1:16" x14ac:dyDescent="0.3">
      <c r="A139">
        <v>5137</v>
      </c>
      <c r="B139" t="s">
        <v>55</v>
      </c>
      <c r="C139" t="s">
        <v>17</v>
      </c>
      <c r="D139" t="s">
        <v>43</v>
      </c>
      <c r="E139" t="s">
        <v>29</v>
      </c>
      <c r="F139" t="s">
        <v>26</v>
      </c>
      <c r="G139" t="s">
        <v>21</v>
      </c>
      <c r="H139">
        <v>1</v>
      </c>
      <c r="I139" s="5">
        <v>1458.02</v>
      </c>
      <c r="J139">
        <v>0.1</v>
      </c>
      <c r="K139" s="4">
        <v>1312.2180000000001</v>
      </c>
      <c r="L139" t="s">
        <v>22</v>
      </c>
      <c r="M139" t="s">
        <v>30</v>
      </c>
      <c r="N139" s="2">
        <f>Table1[[#This Row],[TotalSales]]/Table1[[#This Row],[TicketPrice]]*Table1[[#This Row],[TicketsSold]]</f>
        <v>0.9</v>
      </c>
      <c r="O139">
        <v>1</v>
      </c>
      <c r="P139">
        <v>0</v>
      </c>
    </row>
    <row r="140" spans="1:16" x14ac:dyDescent="0.3">
      <c r="A140">
        <v>5138</v>
      </c>
      <c r="B140" t="s">
        <v>71</v>
      </c>
      <c r="C140" t="s">
        <v>28</v>
      </c>
      <c r="D140" t="s">
        <v>33</v>
      </c>
      <c r="E140" t="s">
        <v>29</v>
      </c>
      <c r="F140" t="s">
        <v>34</v>
      </c>
      <c r="G140" t="s">
        <v>21</v>
      </c>
      <c r="H140">
        <v>3</v>
      </c>
      <c r="I140" s="5">
        <v>1170.51</v>
      </c>
      <c r="J140">
        <v>0</v>
      </c>
      <c r="K140" s="4">
        <v>3511.5299999999997</v>
      </c>
      <c r="L140" t="s">
        <v>30</v>
      </c>
      <c r="M140" t="s">
        <v>22</v>
      </c>
      <c r="N140" s="2">
        <f>Table1[[#This Row],[TotalSales]]/Table1[[#This Row],[TicketPrice]]*Table1[[#This Row],[TicketsSold]]</f>
        <v>9</v>
      </c>
      <c r="O140">
        <v>0</v>
      </c>
      <c r="P140">
        <v>1</v>
      </c>
    </row>
    <row r="141" spans="1:16" hidden="1" x14ac:dyDescent="0.3">
      <c r="A141">
        <v>5139</v>
      </c>
      <c r="B141" t="s">
        <v>62</v>
      </c>
      <c r="C141" t="s">
        <v>32</v>
      </c>
      <c r="D141" t="s">
        <v>45</v>
      </c>
      <c r="E141" t="s">
        <v>19</v>
      </c>
      <c r="F141" t="s">
        <v>26</v>
      </c>
      <c r="G141" t="s">
        <v>21</v>
      </c>
      <c r="H141">
        <v>0</v>
      </c>
      <c r="I141" s="3">
        <v>1404.06</v>
      </c>
      <c r="J141">
        <v>0</v>
      </c>
      <c r="K141" s="1">
        <v>0</v>
      </c>
      <c r="L141" t="s">
        <v>30</v>
      </c>
      <c r="M141" t="s">
        <v>30</v>
      </c>
      <c r="N141" s="2">
        <f>Table1[[#This Row],[TotalSales]]/Table1[[#This Row],[TicketPrice]]*Table1[[#This Row],[TicketsSold]]</f>
        <v>0</v>
      </c>
      <c r="O141">
        <v>0</v>
      </c>
      <c r="P141">
        <v>0</v>
      </c>
    </row>
    <row r="142" spans="1:16" hidden="1" x14ac:dyDescent="0.3">
      <c r="A142">
        <v>5140</v>
      </c>
      <c r="B142" t="s">
        <v>90</v>
      </c>
      <c r="C142" t="s">
        <v>17</v>
      </c>
      <c r="D142" t="s">
        <v>18</v>
      </c>
      <c r="E142" t="s">
        <v>29</v>
      </c>
      <c r="F142" t="s">
        <v>34</v>
      </c>
      <c r="G142" t="s">
        <v>21</v>
      </c>
      <c r="H142">
        <v>0</v>
      </c>
      <c r="I142" s="3">
        <v>1390.28</v>
      </c>
      <c r="J142">
        <v>0.1</v>
      </c>
      <c r="K142" s="1">
        <v>0</v>
      </c>
      <c r="L142" t="s">
        <v>30</v>
      </c>
      <c r="M142" t="s">
        <v>30</v>
      </c>
      <c r="N142" s="2">
        <f>Table1[[#This Row],[TotalSales]]/Table1[[#This Row],[TicketPrice]]*Table1[[#This Row],[TicketsSold]]</f>
        <v>0</v>
      </c>
      <c r="O142">
        <v>0</v>
      </c>
      <c r="P142">
        <v>0</v>
      </c>
    </row>
    <row r="143" spans="1:16" x14ac:dyDescent="0.3">
      <c r="A143">
        <v>5141</v>
      </c>
      <c r="B143" t="s">
        <v>70</v>
      </c>
      <c r="C143" t="s">
        <v>17</v>
      </c>
      <c r="D143" t="s">
        <v>46</v>
      </c>
      <c r="E143" t="s">
        <v>19</v>
      </c>
      <c r="F143" t="s">
        <v>20</v>
      </c>
      <c r="G143" t="s">
        <v>21</v>
      </c>
      <c r="H143">
        <v>2</v>
      </c>
      <c r="I143" s="5">
        <v>188.69</v>
      </c>
      <c r="J143">
        <v>0.1</v>
      </c>
      <c r="K143" s="4">
        <v>339.642</v>
      </c>
      <c r="L143" t="s">
        <v>30</v>
      </c>
      <c r="M143" t="s">
        <v>22</v>
      </c>
      <c r="N143" s="2">
        <f>Table1[[#This Row],[TotalSales]]/Table1[[#This Row],[TicketPrice]]*Table1[[#This Row],[TicketsSold]]</f>
        <v>3.6</v>
      </c>
      <c r="O143">
        <v>0</v>
      </c>
      <c r="P143">
        <v>1</v>
      </c>
    </row>
    <row r="144" spans="1:16" x14ac:dyDescent="0.3">
      <c r="A144">
        <v>5142</v>
      </c>
      <c r="B144" t="s">
        <v>51</v>
      </c>
      <c r="C144" t="s">
        <v>17</v>
      </c>
      <c r="D144" t="s">
        <v>46</v>
      </c>
      <c r="E144" t="s">
        <v>29</v>
      </c>
      <c r="F144" t="s">
        <v>26</v>
      </c>
      <c r="G144" t="s">
        <v>21</v>
      </c>
      <c r="H144">
        <v>2</v>
      </c>
      <c r="I144" s="5">
        <v>382.2</v>
      </c>
      <c r="J144">
        <v>0</v>
      </c>
      <c r="K144" s="4">
        <v>764.4</v>
      </c>
      <c r="L144" t="s">
        <v>30</v>
      </c>
      <c r="M144" t="s">
        <v>30</v>
      </c>
      <c r="N144" s="2">
        <f>Table1[[#This Row],[TotalSales]]/Table1[[#This Row],[TicketPrice]]*Table1[[#This Row],[TicketsSold]]</f>
        <v>4</v>
      </c>
      <c r="O144">
        <v>0</v>
      </c>
      <c r="P144">
        <v>0</v>
      </c>
    </row>
    <row r="145" spans="1:16" x14ac:dyDescent="0.3">
      <c r="A145">
        <v>5143</v>
      </c>
      <c r="B145" t="s">
        <v>52</v>
      </c>
      <c r="C145" t="s">
        <v>28</v>
      </c>
      <c r="D145" t="s">
        <v>24</v>
      </c>
      <c r="E145" t="s">
        <v>25</v>
      </c>
      <c r="F145" t="s">
        <v>20</v>
      </c>
      <c r="G145" t="s">
        <v>40</v>
      </c>
      <c r="H145">
        <v>5</v>
      </c>
      <c r="I145" s="5">
        <v>1143.2</v>
      </c>
      <c r="J145">
        <v>0.1</v>
      </c>
      <c r="K145" s="4">
        <v>5144.4000000000005</v>
      </c>
      <c r="L145" t="s">
        <v>22</v>
      </c>
      <c r="M145" t="s">
        <v>22</v>
      </c>
      <c r="N145" s="2">
        <f>Table1[[#This Row],[TotalSales]]/Table1[[#This Row],[TicketPrice]]*Table1[[#This Row],[TicketsSold]]</f>
        <v>22.5</v>
      </c>
      <c r="O145">
        <v>1</v>
      </c>
      <c r="P145">
        <v>1</v>
      </c>
    </row>
    <row r="146" spans="1:16" x14ac:dyDescent="0.3">
      <c r="A146">
        <v>5144</v>
      </c>
      <c r="B146" t="s">
        <v>58</v>
      </c>
      <c r="C146" t="s">
        <v>28</v>
      </c>
      <c r="D146" t="s">
        <v>18</v>
      </c>
      <c r="E146" t="s">
        <v>29</v>
      </c>
      <c r="F146" t="s">
        <v>26</v>
      </c>
      <c r="G146" t="s">
        <v>21</v>
      </c>
      <c r="H146">
        <v>2</v>
      </c>
      <c r="I146" s="5">
        <v>1107.69</v>
      </c>
      <c r="J146">
        <v>0.05</v>
      </c>
      <c r="K146" s="4">
        <v>2104.6109999999999</v>
      </c>
      <c r="L146" t="s">
        <v>22</v>
      </c>
      <c r="M146" t="s">
        <v>22</v>
      </c>
      <c r="N146" s="2">
        <f>Table1[[#This Row],[TotalSales]]/Table1[[#This Row],[TicketPrice]]*Table1[[#This Row],[TicketsSold]]</f>
        <v>3.7999999999999994</v>
      </c>
      <c r="O146">
        <v>1</v>
      </c>
      <c r="P146">
        <v>1</v>
      </c>
    </row>
    <row r="147" spans="1:16" x14ac:dyDescent="0.3">
      <c r="A147">
        <v>5145</v>
      </c>
      <c r="B147" t="s">
        <v>44</v>
      </c>
      <c r="C147" t="s">
        <v>28</v>
      </c>
      <c r="D147" t="s">
        <v>18</v>
      </c>
      <c r="E147" t="s">
        <v>29</v>
      </c>
      <c r="F147" t="s">
        <v>34</v>
      </c>
      <c r="G147" t="s">
        <v>21</v>
      </c>
      <c r="H147">
        <v>1</v>
      </c>
      <c r="I147" s="5">
        <v>1062.68</v>
      </c>
      <c r="J147">
        <v>0.05</v>
      </c>
      <c r="K147" s="4">
        <v>1009.546</v>
      </c>
      <c r="L147" t="s">
        <v>22</v>
      </c>
      <c r="M147" t="s">
        <v>30</v>
      </c>
      <c r="N147" s="2">
        <f>Table1[[#This Row],[TotalSales]]/Table1[[#This Row],[TicketPrice]]*Table1[[#This Row],[TicketsSold]]</f>
        <v>0.95</v>
      </c>
      <c r="O147">
        <v>1</v>
      </c>
      <c r="P147">
        <v>0</v>
      </c>
    </row>
    <row r="148" spans="1:16" x14ac:dyDescent="0.3">
      <c r="A148">
        <v>5146</v>
      </c>
      <c r="B148" t="s">
        <v>76</v>
      </c>
      <c r="C148" t="s">
        <v>32</v>
      </c>
      <c r="D148" t="s">
        <v>18</v>
      </c>
      <c r="E148" t="s">
        <v>19</v>
      </c>
      <c r="F148" t="s">
        <v>20</v>
      </c>
      <c r="G148" t="s">
        <v>21</v>
      </c>
      <c r="H148">
        <v>2</v>
      </c>
      <c r="I148" s="5">
        <v>625.96</v>
      </c>
      <c r="J148">
        <v>0</v>
      </c>
      <c r="K148" s="4">
        <v>1251.92</v>
      </c>
      <c r="L148" t="s">
        <v>22</v>
      </c>
      <c r="M148" t="s">
        <v>22</v>
      </c>
      <c r="N148" s="2">
        <f>Table1[[#This Row],[TotalSales]]/Table1[[#This Row],[TicketPrice]]*Table1[[#This Row],[TicketsSold]]</f>
        <v>4</v>
      </c>
      <c r="O148">
        <v>1</v>
      </c>
      <c r="P148">
        <v>1</v>
      </c>
    </row>
    <row r="149" spans="1:16" hidden="1" x14ac:dyDescent="0.3">
      <c r="A149">
        <v>5147</v>
      </c>
      <c r="B149" t="s">
        <v>66</v>
      </c>
      <c r="C149" t="s">
        <v>28</v>
      </c>
      <c r="D149" t="s">
        <v>33</v>
      </c>
      <c r="E149" t="s">
        <v>19</v>
      </c>
      <c r="F149" t="s">
        <v>20</v>
      </c>
      <c r="G149" t="s">
        <v>21</v>
      </c>
      <c r="H149">
        <v>0</v>
      </c>
      <c r="I149" s="3">
        <v>647.14</v>
      </c>
      <c r="J149">
        <v>0</v>
      </c>
      <c r="K149" s="1">
        <v>0</v>
      </c>
      <c r="L149" t="s">
        <v>30</v>
      </c>
      <c r="M149" t="s">
        <v>30</v>
      </c>
      <c r="N149" s="2">
        <f>Table1[[#This Row],[TotalSales]]/Table1[[#This Row],[TicketPrice]]*Table1[[#This Row],[TicketsSold]]</f>
        <v>0</v>
      </c>
      <c r="O149">
        <v>0</v>
      </c>
      <c r="P149">
        <v>0</v>
      </c>
    </row>
    <row r="150" spans="1:16" x14ac:dyDescent="0.3">
      <c r="A150">
        <v>5148</v>
      </c>
      <c r="B150" t="s">
        <v>86</v>
      </c>
      <c r="C150" t="s">
        <v>28</v>
      </c>
      <c r="D150" t="s">
        <v>33</v>
      </c>
      <c r="E150" t="s">
        <v>25</v>
      </c>
      <c r="F150" t="s">
        <v>26</v>
      </c>
      <c r="G150" t="s">
        <v>21</v>
      </c>
      <c r="H150">
        <v>4</v>
      </c>
      <c r="I150" s="5">
        <v>1459.41</v>
      </c>
      <c r="J150">
        <v>0</v>
      </c>
      <c r="K150" s="4">
        <v>5837.64</v>
      </c>
      <c r="L150" t="s">
        <v>22</v>
      </c>
      <c r="M150" t="s">
        <v>30</v>
      </c>
      <c r="N150" s="2">
        <f>Table1[[#This Row],[TotalSales]]/Table1[[#This Row],[TicketPrice]]*Table1[[#This Row],[TicketsSold]]</f>
        <v>16</v>
      </c>
      <c r="O150">
        <v>1</v>
      </c>
      <c r="P150">
        <v>0</v>
      </c>
    </row>
    <row r="151" spans="1:16" hidden="1" x14ac:dyDescent="0.3">
      <c r="A151">
        <v>5149</v>
      </c>
      <c r="B151" t="s">
        <v>85</v>
      </c>
      <c r="C151" t="s">
        <v>28</v>
      </c>
      <c r="D151" t="s">
        <v>43</v>
      </c>
      <c r="E151" t="s">
        <v>29</v>
      </c>
      <c r="F151" t="s">
        <v>34</v>
      </c>
      <c r="G151" t="s">
        <v>35</v>
      </c>
      <c r="H151">
        <v>0</v>
      </c>
      <c r="I151" s="3">
        <v>968.86</v>
      </c>
      <c r="K151" s="1">
        <v>0</v>
      </c>
      <c r="L151" t="s">
        <v>30</v>
      </c>
      <c r="M151" t="s">
        <v>30</v>
      </c>
      <c r="N151" s="2">
        <f>Table1[[#This Row],[TotalSales]]/Table1[[#This Row],[TicketPrice]]*Table1[[#This Row],[TicketsSold]]</f>
        <v>0</v>
      </c>
      <c r="O151">
        <v>0</v>
      </c>
      <c r="P151">
        <v>0</v>
      </c>
    </row>
    <row r="152" spans="1:16" hidden="1" x14ac:dyDescent="0.3">
      <c r="A152">
        <v>5150</v>
      </c>
      <c r="B152" t="s">
        <v>36</v>
      </c>
      <c r="C152" t="s">
        <v>28</v>
      </c>
      <c r="D152" t="s">
        <v>33</v>
      </c>
      <c r="E152" t="s">
        <v>25</v>
      </c>
      <c r="F152" t="s">
        <v>34</v>
      </c>
      <c r="G152" t="s">
        <v>40</v>
      </c>
      <c r="H152">
        <v>0</v>
      </c>
      <c r="I152" s="3">
        <v>646.16999999999996</v>
      </c>
      <c r="J152">
        <v>0.05</v>
      </c>
      <c r="K152" s="1">
        <v>0</v>
      </c>
      <c r="L152" t="s">
        <v>22</v>
      </c>
      <c r="M152" t="s">
        <v>22</v>
      </c>
      <c r="N152" s="2">
        <f>Table1[[#This Row],[TotalSales]]/Table1[[#This Row],[TicketPrice]]*Table1[[#This Row],[TicketsSold]]</f>
        <v>0</v>
      </c>
      <c r="O152">
        <v>1</v>
      </c>
      <c r="P152">
        <v>1</v>
      </c>
    </row>
    <row r="153" spans="1:16" x14ac:dyDescent="0.3">
      <c r="A153">
        <v>5151</v>
      </c>
      <c r="B153" t="s">
        <v>85</v>
      </c>
      <c r="C153" t="s">
        <v>32</v>
      </c>
      <c r="D153" t="s">
        <v>43</v>
      </c>
      <c r="E153" t="s">
        <v>25</v>
      </c>
      <c r="F153" t="s">
        <v>26</v>
      </c>
      <c r="G153" t="s">
        <v>35</v>
      </c>
      <c r="H153">
        <v>1</v>
      </c>
      <c r="I153" s="5">
        <v>564.70000000000005</v>
      </c>
      <c r="J153">
        <v>0</v>
      </c>
      <c r="K153" s="4">
        <v>564.70000000000005</v>
      </c>
      <c r="L153" t="s">
        <v>30</v>
      </c>
      <c r="M153" t="s">
        <v>22</v>
      </c>
      <c r="N153" s="2">
        <f>Table1[[#This Row],[TotalSales]]/Table1[[#This Row],[TicketPrice]]*Table1[[#This Row],[TicketsSold]]</f>
        <v>1</v>
      </c>
      <c r="O153">
        <v>0</v>
      </c>
      <c r="P153">
        <v>1</v>
      </c>
    </row>
    <row r="154" spans="1:16" hidden="1" x14ac:dyDescent="0.3">
      <c r="A154">
        <v>5152</v>
      </c>
      <c r="B154" t="s">
        <v>72</v>
      </c>
      <c r="C154" t="s">
        <v>28</v>
      </c>
      <c r="D154" t="s">
        <v>33</v>
      </c>
      <c r="E154" t="s">
        <v>25</v>
      </c>
      <c r="F154" t="s">
        <v>26</v>
      </c>
      <c r="G154" t="s">
        <v>35</v>
      </c>
      <c r="H154">
        <v>0</v>
      </c>
      <c r="I154" s="3">
        <v>1168.42</v>
      </c>
      <c r="J154">
        <v>0.1</v>
      </c>
      <c r="K154" s="1">
        <v>0</v>
      </c>
      <c r="L154" t="s">
        <v>22</v>
      </c>
      <c r="M154" t="s">
        <v>30</v>
      </c>
      <c r="N154" s="2">
        <f>Table1[[#This Row],[TotalSales]]/Table1[[#This Row],[TicketPrice]]*Table1[[#This Row],[TicketsSold]]</f>
        <v>0</v>
      </c>
      <c r="O154">
        <v>1</v>
      </c>
      <c r="P154">
        <v>0</v>
      </c>
    </row>
    <row r="155" spans="1:16" hidden="1" x14ac:dyDescent="0.3">
      <c r="A155">
        <v>5153</v>
      </c>
      <c r="B155" t="s">
        <v>85</v>
      </c>
      <c r="C155" t="s">
        <v>32</v>
      </c>
      <c r="D155" t="s">
        <v>18</v>
      </c>
      <c r="E155" t="s">
        <v>19</v>
      </c>
      <c r="F155" t="s">
        <v>26</v>
      </c>
      <c r="G155" t="s">
        <v>40</v>
      </c>
      <c r="H155">
        <v>0</v>
      </c>
      <c r="I155" s="3">
        <v>400.83</v>
      </c>
      <c r="J155">
        <v>0.1</v>
      </c>
      <c r="K155" s="1">
        <v>0</v>
      </c>
      <c r="L155" t="s">
        <v>30</v>
      </c>
      <c r="M155" t="s">
        <v>22</v>
      </c>
      <c r="N155" s="2">
        <f>Table1[[#This Row],[TotalSales]]/Table1[[#This Row],[TicketPrice]]*Table1[[#This Row],[TicketsSold]]</f>
        <v>0</v>
      </c>
      <c r="O155">
        <v>0</v>
      </c>
      <c r="P155">
        <v>1</v>
      </c>
    </row>
    <row r="156" spans="1:16" hidden="1" x14ac:dyDescent="0.3">
      <c r="A156">
        <v>5154</v>
      </c>
      <c r="B156" t="s">
        <v>65</v>
      </c>
      <c r="C156" t="s">
        <v>17</v>
      </c>
      <c r="D156" t="s">
        <v>18</v>
      </c>
      <c r="E156" t="s">
        <v>29</v>
      </c>
      <c r="F156" t="s">
        <v>34</v>
      </c>
      <c r="G156" t="s">
        <v>40</v>
      </c>
      <c r="H156">
        <v>0</v>
      </c>
      <c r="I156" s="3">
        <v>736.09</v>
      </c>
      <c r="J156">
        <v>0.05</v>
      </c>
      <c r="K156" s="1">
        <v>0</v>
      </c>
      <c r="L156" t="s">
        <v>30</v>
      </c>
      <c r="M156" t="s">
        <v>22</v>
      </c>
      <c r="N156" s="2">
        <f>Table1[[#This Row],[TotalSales]]/Table1[[#This Row],[TicketPrice]]*Table1[[#This Row],[TicketsSold]]</f>
        <v>0</v>
      </c>
      <c r="O156">
        <v>0</v>
      </c>
      <c r="P156">
        <v>1</v>
      </c>
    </row>
    <row r="157" spans="1:16" x14ac:dyDescent="0.3">
      <c r="A157">
        <v>5155</v>
      </c>
      <c r="B157" t="s">
        <v>51</v>
      </c>
      <c r="C157" t="s">
        <v>32</v>
      </c>
      <c r="D157" t="s">
        <v>43</v>
      </c>
      <c r="E157" t="s">
        <v>25</v>
      </c>
      <c r="F157" t="s">
        <v>34</v>
      </c>
      <c r="G157" t="s">
        <v>35</v>
      </c>
      <c r="H157">
        <v>1</v>
      </c>
      <c r="I157" s="5">
        <v>1038.29</v>
      </c>
      <c r="J157">
        <v>0</v>
      </c>
      <c r="K157" s="4">
        <v>1038.29</v>
      </c>
      <c r="L157" t="s">
        <v>30</v>
      </c>
      <c r="M157" t="s">
        <v>30</v>
      </c>
      <c r="N157" s="2">
        <f>Table1[[#This Row],[TotalSales]]/Table1[[#This Row],[TicketPrice]]*Table1[[#This Row],[TicketsSold]]</f>
        <v>1</v>
      </c>
      <c r="O157">
        <v>0</v>
      </c>
      <c r="P157">
        <v>0</v>
      </c>
    </row>
    <row r="158" spans="1:16" x14ac:dyDescent="0.3">
      <c r="A158">
        <v>5156</v>
      </c>
      <c r="B158" t="s">
        <v>91</v>
      </c>
      <c r="C158" t="s">
        <v>28</v>
      </c>
      <c r="D158" t="s">
        <v>43</v>
      </c>
      <c r="E158" t="s">
        <v>25</v>
      </c>
      <c r="F158" t="s">
        <v>26</v>
      </c>
      <c r="G158" t="s">
        <v>40</v>
      </c>
      <c r="H158">
        <v>1</v>
      </c>
      <c r="I158" s="5">
        <v>1084.3900000000001</v>
      </c>
      <c r="J158">
        <v>0.1</v>
      </c>
      <c r="K158" s="4">
        <v>975.95100000000014</v>
      </c>
      <c r="L158" t="s">
        <v>22</v>
      </c>
      <c r="M158" t="s">
        <v>22</v>
      </c>
      <c r="N158" s="2">
        <f>Table1[[#This Row],[TotalSales]]/Table1[[#This Row],[TicketPrice]]*Table1[[#This Row],[TicketsSold]]</f>
        <v>0.9</v>
      </c>
      <c r="O158">
        <v>1</v>
      </c>
      <c r="P158">
        <v>1</v>
      </c>
    </row>
    <row r="159" spans="1:16" x14ac:dyDescent="0.3">
      <c r="A159">
        <v>5157</v>
      </c>
      <c r="B159" t="s">
        <v>70</v>
      </c>
      <c r="C159" t="s">
        <v>28</v>
      </c>
      <c r="D159" t="s">
        <v>18</v>
      </c>
      <c r="E159" t="s">
        <v>19</v>
      </c>
      <c r="F159" t="s">
        <v>26</v>
      </c>
      <c r="G159" t="s">
        <v>21</v>
      </c>
      <c r="H159">
        <v>4</v>
      </c>
      <c r="I159" s="5">
        <v>220.35</v>
      </c>
      <c r="J159">
        <v>0.1</v>
      </c>
      <c r="K159" s="4">
        <v>793.26</v>
      </c>
      <c r="L159" t="s">
        <v>30</v>
      </c>
      <c r="M159" t="s">
        <v>30</v>
      </c>
      <c r="N159" s="2">
        <f>Table1[[#This Row],[TotalSales]]/Table1[[#This Row],[TicketPrice]]*Table1[[#This Row],[TicketsSold]]</f>
        <v>14.4</v>
      </c>
      <c r="O159">
        <v>0</v>
      </c>
      <c r="P159">
        <v>0</v>
      </c>
    </row>
    <row r="160" spans="1:16" x14ac:dyDescent="0.3">
      <c r="A160">
        <v>5158</v>
      </c>
      <c r="B160" t="s">
        <v>77</v>
      </c>
      <c r="C160" t="s">
        <v>28</v>
      </c>
      <c r="D160" t="s">
        <v>45</v>
      </c>
      <c r="E160" t="s">
        <v>19</v>
      </c>
      <c r="F160" t="s">
        <v>34</v>
      </c>
      <c r="G160" t="s">
        <v>35</v>
      </c>
      <c r="H160">
        <v>5</v>
      </c>
      <c r="I160" s="5">
        <v>708.82</v>
      </c>
      <c r="J160">
        <v>0.1</v>
      </c>
      <c r="K160" s="4">
        <v>3189.6900000000005</v>
      </c>
      <c r="L160" t="s">
        <v>30</v>
      </c>
      <c r="M160" t="s">
        <v>30</v>
      </c>
      <c r="N160" s="2">
        <f>Table1[[#This Row],[TotalSales]]/Table1[[#This Row],[TicketPrice]]*Table1[[#This Row],[TicketsSold]]</f>
        <v>22.5</v>
      </c>
      <c r="O160">
        <v>0</v>
      </c>
      <c r="P160">
        <v>0</v>
      </c>
    </row>
    <row r="161" spans="1:16" hidden="1" x14ac:dyDescent="0.3">
      <c r="A161">
        <v>5159</v>
      </c>
      <c r="B161" t="s">
        <v>77</v>
      </c>
      <c r="C161" t="s">
        <v>28</v>
      </c>
      <c r="D161" t="s">
        <v>46</v>
      </c>
      <c r="E161" t="s">
        <v>25</v>
      </c>
      <c r="F161" t="s">
        <v>26</v>
      </c>
      <c r="G161" t="s">
        <v>21</v>
      </c>
      <c r="H161">
        <v>0</v>
      </c>
      <c r="I161" s="3">
        <v>804.35</v>
      </c>
      <c r="J161">
        <v>0</v>
      </c>
      <c r="K161" s="1">
        <v>0</v>
      </c>
      <c r="L161" t="s">
        <v>30</v>
      </c>
      <c r="M161" t="s">
        <v>30</v>
      </c>
      <c r="N161" s="2">
        <f>Table1[[#This Row],[TotalSales]]/Table1[[#This Row],[TicketPrice]]*Table1[[#This Row],[TicketsSold]]</f>
        <v>0</v>
      </c>
      <c r="O161">
        <v>0</v>
      </c>
      <c r="P161">
        <v>0</v>
      </c>
    </row>
    <row r="162" spans="1:16" x14ac:dyDescent="0.3">
      <c r="A162">
        <v>5160</v>
      </c>
      <c r="B162" t="s">
        <v>38</v>
      </c>
      <c r="C162" t="s">
        <v>28</v>
      </c>
      <c r="D162" t="s">
        <v>18</v>
      </c>
      <c r="E162" t="s">
        <v>25</v>
      </c>
      <c r="F162" t="s">
        <v>34</v>
      </c>
      <c r="G162" t="s">
        <v>21</v>
      </c>
      <c r="H162">
        <v>5</v>
      </c>
      <c r="I162" s="5">
        <v>190.27</v>
      </c>
      <c r="J162">
        <v>0</v>
      </c>
      <c r="K162" s="4">
        <v>951.35</v>
      </c>
      <c r="L162" t="s">
        <v>30</v>
      </c>
      <c r="M162" t="s">
        <v>22</v>
      </c>
      <c r="N162" s="2">
        <f>Table1[[#This Row],[TotalSales]]/Table1[[#This Row],[TicketPrice]]*Table1[[#This Row],[TicketsSold]]</f>
        <v>25</v>
      </c>
      <c r="O162">
        <v>0</v>
      </c>
      <c r="P162">
        <v>1</v>
      </c>
    </row>
    <row r="163" spans="1:16" hidden="1" x14ac:dyDescent="0.3">
      <c r="A163">
        <v>5161</v>
      </c>
      <c r="B163" t="s">
        <v>49</v>
      </c>
      <c r="C163" t="s">
        <v>28</v>
      </c>
      <c r="D163" t="s">
        <v>18</v>
      </c>
      <c r="E163" t="s">
        <v>29</v>
      </c>
      <c r="F163" t="s">
        <v>34</v>
      </c>
      <c r="G163" t="s">
        <v>21</v>
      </c>
      <c r="H163">
        <v>0</v>
      </c>
      <c r="I163" s="3">
        <v>238.73</v>
      </c>
      <c r="J163">
        <v>0.1</v>
      </c>
      <c r="K163" s="1">
        <v>0</v>
      </c>
      <c r="L163" t="s">
        <v>22</v>
      </c>
      <c r="M163" t="s">
        <v>22</v>
      </c>
      <c r="N163" s="2">
        <f>Table1[[#This Row],[TotalSales]]/Table1[[#This Row],[TicketPrice]]*Table1[[#This Row],[TicketsSold]]</f>
        <v>0</v>
      </c>
      <c r="O163">
        <v>1</v>
      </c>
      <c r="P163">
        <v>1</v>
      </c>
    </row>
    <row r="164" spans="1:16" hidden="1" x14ac:dyDescent="0.3">
      <c r="A164">
        <v>5162</v>
      </c>
      <c r="B164" t="s">
        <v>48</v>
      </c>
      <c r="C164" t="s">
        <v>17</v>
      </c>
      <c r="D164" t="s">
        <v>46</v>
      </c>
      <c r="E164" t="s">
        <v>29</v>
      </c>
      <c r="F164" t="s">
        <v>26</v>
      </c>
      <c r="G164" t="s">
        <v>21</v>
      </c>
      <c r="H164">
        <v>0</v>
      </c>
      <c r="I164" s="3">
        <v>586.46</v>
      </c>
      <c r="J164">
        <v>0.05</v>
      </c>
      <c r="K164" s="1">
        <v>0</v>
      </c>
      <c r="L164" t="s">
        <v>22</v>
      </c>
      <c r="M164" t="s">
        <v>30</v>
      </c>
      <c r="N164" s="2">
        <f>Table1[[#This Row],[TotalSales]]/Table1[[#This Row],[TicketPrice]]*Table1[[#This Row],[TicketsSold]]</f>
        <v>0</v>
      </c>
      <c r="O164">
        <v>1</v>
      </c>
      <c r="P164">
        <v>0</v>
      </c>
    </row>
    <row r="165" spans="1:16" x14ac:dyDescent="0.3">
      <c r="A165">
        <v>5163</v>
      </c>
      <c r="B165" t="s">
        <v>71</v>
      </c>
      <c r="C165" t="s">
        <v>32</v>
      </c>
      <c r="D165" t="s">
        <v>45</v>
      </c>
      <c r="E165" t="s">
        <v>25</v>
      </c>
      <c r="F165" t="s">
        <v>26</v>
      </c>
      <c r="G165" t="s">
        <v>40</v>
      </c>
      <c r="H165">
        <v>4</v>
      </c>
      <c r="I165" s="5">
        <v>416.9</v>
      </c>
      <c r="J165">
        <v>0.1</v>
      </c>
      <c r="K165" s="4">
        <v>1500.84</v>
      </c>
      <c r="L165" t="s">
        <v>30</v>
      </c>
      <c r="M165" t="s">
        <v>30</v>
      </c>
      <c r="N165" s="2">
        <f>Table1[[#This Row],[TotalSales]]/Table1[[#This Row],[TicketPrice]]*Table1[[#This Row],[TicketsSold]]</f>
        <v>14.4</v>
      </c>
      <c r="O165">
        <v>0</v>
      </c>
      <c r="P165">
        <v>0</v>
      </c>
    </row>
    <row r="166" spans="1:16" x14ac:dyDescent="0.3">
      <c r="A166">
        <v>5164</v>
      </c>
      <c r="B166" t="s">
        <v>83</v>
      </c>
      <c r="C166" t="s">
        <v>28</v>
      </c>
      <c r="D166" t="s">
        <v>45</v>
      </c>
      <c r="E166" t="s">
        <v>29</v>
      </c>
      <c r="F166" t="s">
        <v>20</v>
      </c>
      <c r="G166" t="s">
        <v>21</v>
      </c>
      <c r="H166">
        <v>1</v>
      </c>
      <c r="I166" s="5">
        <v>223.6</v>
      </c>
      <c r="J166">
        <v>0</v>
      </c>
      <c r="K166" s="4">
        <v>223.6</v>
      </c>
      <c r="L166" t="s">
        <v>30</v>
      </c>
      <c r="M166" t="s">
        <v>30</v>
      </c>
      <c r="N166" s="2">
        <f>Table1[[#This Row],[TotalSales]]/Table1[[#This Row],[TicketPrice]]*Table1[[#This Row],[TicketsSold]]</f>
        <v>1</v>
      </c>
      <c r="O166">
        <v>0</v>
      </c>
      <c r="P166">
        <v>0</v>
      </c>
    </row>
    <row r="167" spans="1:16" hidden="1" x14ac:dyDescent="0.3">
      <c r="A167">
        <v>5165</v>
      </c>
      <c r="B167" t="s">
        <v>65</v>
      </c>
      <c r="C167" t="s">
        <v>28</v>
      </c>
      <c r="D167" t="s">
        <v>45</v>
      </c>
      <c r="E167" t="s">
        <v>19</v>
      </c>
      <c r="F167" t="s">
        <v>20</v>
      </c>
      <c r="G167" t="s">
        <v>40</v>
      </c>
      <c r="H167">
        <v>0</v>
      </c>
      <c r="I167" s="3">
        <v>403.99</v>
      </c>
      <c r="K167" s="1">
        <v>0</v>
      </c>
      <c r="L167" t="s">
        <v>22</v>
      </c>
      <c r="M167" t="s">
        <v>30</v>
      </c>
      <c r="N167" s="2">
        <f>Table1[[#This Row],[TotalSales]]/Table1[[#This Row],[TicketPrice]]*Table1[[#This Row],[TicketsSold]]</f>
        <v>0</v>
      </c>
      <c r="O167">
        <v>1</v>
      </c>
      <c r="P167">
        <v>0</v>
      </c>
    </row>
    <row r="168" spans="1:16" hidden="1" x14ac:dyDescent="0.3">
      <c r="A168">
        <v>5166</v>
      </c>
      <c r="B168" t="s">
        <v>72</v>
      </c>
      <c r="C168" t="s">
        <v>17</v>
      </c>
      <c r="D168" t="s">
        <v>46</v>
      </c>
      <c r="E168" t="s">
        <v>25</v>
      </c>
      <c r="F168" t="s">
        <v>20</v>
      </c>
      <c r="G168" t="s">
        <v>21</v>
      </c>
      <c r="H168">
        <v>0</v>
      </c>
      <c r="I168" s="3">
        <v>1330.52</v>
      </c>
      <c r="J168">
        <v>0.1</v>
      </c>
      <c r="K168" s="1">
        <v>0</v>
      </c>
      <c r="L168" t="s">
        <v>30</v>
      </c>
      <c r="M168" t="s">
        <v>30</v>
      </c>
      <c r="N168" s="2">
        <f>Table1[[#This Row],[TotalSales]]/Table1[[#This Row],[TicketPrice]]*Table1[[#This Row],[TicketsSold]]</f>
        <v>0</v>
      </c>
      <c r="O168">
        <v>0</v>
      </c>
      <c r="P168">
        <v>0</v>
      </c>
    </row>
    <row r="169" spans="1:16" hidden="1" x14ac:dyDescent="0.3">
      <c r="A169">
        <v>5167</v>
      </c>
      <c r="B169" t="s">
        <v>75</v>
      </c>
      <c r="C169" t="s">
        <v>28</v>
      </c>
      <c r="D169" t="s">
        <v>45</v>
      </c>
      <c r="E169" t="s">
        <v>29</v>
      </c>
      <c r="F169" t="s">
        <v>26</v>
      </c>
      <c r="G169" t="s">
        <v>35</v>
      </c>
      <c r="H169">
        <v>0</v>
      </c>
      <c r="I169" s="3">
        <v>462.88</v>
      </c>
      <c r="K169" s="1">
        <v>0</v>
      </c>
      <c r="L169" t="s">
        <v>30</v>
      </c>
      <c r="M169" t="s">
        <v>22</v>
      </c>
      <c r="N169" s="2">
        <f>Table1[[#This Row],[TotalSales]]/Table1[[#This Row],[TicketPrice]]*Table1[[#This Row],[TicketsSold]]</f>
        <v>0</v>
      </c>
      <c r="O169">
        <v>0</v>
      </c>
      <c r="P169">
        <v>1</v>
      </c>
    </row>
    <row r="170" spans="1:16" x14ac:dyDescent="0.3">
      <c r="A170">
        <v>5168</v>
      </c>
      <c r="B170" t="s">
        <v>89</v>
      </c>
      <c r="C170" t="s">
        <v>17</v>
      </c>
      <c r="D170" t="s">
        <v>33</v>
      </c>
      <c r="E170" t="s">
        <v>19</v>
      </c>
      <c r="F170" t="s">
        <v>20</v>
      </c>
      <c r="G170" t="s">
        <v>21</v>
      </c>
      <c r="H170">
        <v>2</v>
      </c>
      <c r="I170" s="5">
        <v>1232.28</v>
      </c>
      <c r="J170">
        <v>0</v>
      </c>
      <c r="K170" s="4">
        <v>2464.56</v>
      </c>
      <c r="L170" t="s">
        <v>30</v>
      </c>
      <c r="M170" t="s">
        <v>22</v>
      </c>
      <c r="N170" s="2">
        <f>Table1[[#This Row],[TotalSales]]/Table1[[#This Row],[TicketPrice]]*Table1[[#This Row],[TicketsSold]]</f>
        <v>4</v>
      </c>
      <c r="O170">
        <v>0</v>
      </c>
      <c r="P170">
        <v>1</v>
      </c>
    </row>
    <row r="171" spans="1:16" hidden="1" x14ac:dyDescent="0.3">
      <c r="A171">
        <v>5169</v>
      </c>
      <c r="B171" t="s">
        <v>63</v>
      </c>
      <c r="C171" t="s">
        <v>28</v>
      </c>
      <c r="D171" t="s">
        <v>45</v>
      </c>
      <c r="E171" t="s">
        <v>29</v>
      </c>
      <c r="F171" t="s">
        <v>26</v>
      </c>
      <c r="G171" t="s">
        <v>21</v>
      </c>
      <c r="H171">
        <v>0</v>
      </c>
      <c r="I171" s="3">
        <v>702.04</v>
      </c>
      <c r="K171" s="1">
        <v>0</v>
      </c>
      <c r="L171" t="s">
        <v>22</v>
      </c>
      <c r="M171" t="s">
        <v>30</v>
      </c>
      <c r="N171" s="2">
        <f>Table1[[#This Row],[TotalSales]]/Table1[[#This Row],[TicketPrice]]*Table1[[#This Row],[TicketsSold]]</f>
        <v>0</v>
      </c>
      <c r="O171">
        <v>1</v>
      </c>
      <c r="P171">
        <v>0</v>
      </c>
    </row>
    <row r="172" spans="1:16" x14ac:dyDescent="0.3">
      <c r="A172">
        <v>5170</v>
      </c>
      <c r="B172" t="s">
        <v>50</v>
      </c>
      <c r="C172" t="s">
        <v>17</v>
      </c>
      <c r="D172" t="s">
        <v>45</v>
      </c>
      <c r="E172" t="s">
        <v>25</v>
      </c>
      <c r="F172" t="s">
        <v>34</v>
      </c>
      <c r="G172" t="s">
        <v>21</v>
      </c>
      <c r="H172">
        <v>3</v>
      </c>
      <c r="I172" s="5">
        <v>566.34</v>
      </c>
      <c r="J172">
        <v>0</v>
      </c>
      <c r="K172" s="4">
        <v>1699.02</v>
      </c>
      <c r="L172" t="s">
        <v>30</v>
      </c>
      <c r="M172" t="s">
        <v>30</v>
      </c>
      <c r="N172" s="2">
        <f>Table1[[#This Row],[TotalSales]]/Table1[[#This Row],[TicketPrice]]*Table1[[#This Row],[TicketsSold]]</f>
        <v>9</v>
      </c>
      <c r="O172">
        <v>0</v>
      </c>
      <c r="P172">
        <v>0</v>
      </c>
    </row>
    <row r="173" spans="1:16" hidden="1" x14ac:dyDescent="0.3">
      <c r="A173">
        <v>5171</v>
      </c>
      <c r="B173" t="s">
        <v>66</v>
      </c>
      <c r="C173" t="s">
        <v>17</v>
      </c>
      <c r="D173" t="s">
        <v>33</v>
      </c>
      <c r="E173" t="s">
        <v>29</v>
      </c>
      <c r="F173" t="s">
        <v>34</v>
      </c>
      <c r="G173" t="s">
        <v>21</v>
      </c>
      <c r="H173">
        <v>0</v>
      </c>
      <c r="I173" s="3">
        <v>1079</v>
      </c>
      <c r="J173">
        <v>0.05</v>
      </c>
      <c r="K173" s="1">
        <v>0</v>
      </c>
      <c r="L173" t="s">
        <v>30</v>
      </c>
      <c r="M173" t="s">
        <v>22</v>
      </c>
      <c r="N173" s="2">
        <f>Table1[[#This Row],[TotalSales]]/Table1[[#This Row],[TicketPrice]]*Table1[[#This Row],[TicketsSold]]</f>
        <v>0</v>
      </c>
      <c r="O173">
        <v>0</v>
      </c>
      <c r="P173">
        <v>1</v>
      </c>
    </row>
    <row r="174" spans="1:16" hidden="1" x14ac:dyDescent="0.3">
      <c r="A174">
        <v>5172</v>
      </c>
      <c r="B174" t="s">
        <v>90</v>
      </c>
      <c r="C174" t="s">
        <v>28</v>
      </c>
      <c r="D174" t="s">
        <v>46</v>
      </c>
      <c r="E174" t="s">
        <v>25</v>
      </c>
      <c r="F174" t="s">
        <v>26</v>
      </c>
      <c r="G174" t="s">
        <v>21</v>
      </c>
      <c r="H174">
        <v>0</v>
      </c>
      <c r="I174" s="3">
        <v>1360.25</v>
      </c>
      <c r="K174" s="1">
        <v>0</v>
      </c>
      <c r="L174" t="s">
        <v>22</v>
      </c>
      <c r="M174" t="s">
        <v>22</v>
      </c>
      <c r="N174" s="2">
        <f>Table1[[#This Row],[TotalSales]]/Table1[[#This Row],[TicketPrice]]*Table1[[#This Row],[TicketsSold]]</f>
        <v>0</v>
      </c>
      <c r="O174">
        <v>1</v>
      </c>
      <c r="P174">
        <v>1</v>
      </c>
    </row>
    <row r="175" spans="1:16" x14ac:dyDescent="0.3">
      <c r="A175">
        <v>5173</v>
      </c>
      <c r="B175" t="s">
        <v>55</v>
      </c>
      <c r="C175" t="s">
        <v>32</v>
      </c>
      <c r="D175" t="s">
        <v>24</v>
      </c>
      <c r="E175" t="s">
        <v>19</v>
      </c>
      <c r="F175" t="s">
        <v>34</v>
      </c>
      <c r="G175" t="s">
        <v>40</v>
      </c>
      <c r="H175">
        <v>1</v>
      </c>
      <c r="I175" s="5">
        <v>224.17</v>
      </c>
      <c r="J175">
        <v>0.1</v>
      </c>
      <c r="K175" s="4">
        <v>201.75299999999999</v>
      </c>
      <c r="L175" t="s">
        <v>22</v>
      </c>
      <c r="M175" t="s">
        <v>30</v>
      </c>
      <c r="N175" s="2">
        <f>Table1[[#This Row],[TotalSales]]/Table1[[#This Row],[TicketPrice]]*Table1[[#This Row],[TicketsSold]]</f>
        <v>0.9</v>
      </c>
      <c r="O175">
        <v>1</v>
      </c>
      <c r="P175">
        <v>0</v>
      </c>
    </row>
    <row r="176" spans="1:16" x14ac:dyDescent="0.3">
      <c r="A176">
        <v>5174</v>
      </c>
      <c r="B176" t="s">
        <v>88</v>
      </c>
      <c r="C176" t="s">
        <v>32</v>
      </c>
      <c r="D176" t="s">
        <v>46</v>
      </c>
      <c r="E176" t="s">
        <v>29</v>
      </c>
      <c r="F176" t="s">
        <v>26</v>
      </c>
      <c r="G176" t="s">
        <v>40</v>
      </c>
      <c r="H176">
        <v>1</v>
      </c>
      <c r="I176" s="5">
        <v>852.11</v>
      </c>
      <c r="J176">
        <v>0</v>
      </c>
      <c r="K176" s="4">
        <v>852.11</v>
      </c>
      <c r="L176" t="s">
        <v>22</v>
      </c>
      <c r="M176" t="s">
        <v>30</v>
      </c>
      <c r="N176" s="2">
        <f>Table1[[#This Row],[TotalSales]]/Table1[[#This Row],[TicketPrice]]*Table1[[#This Row],[TicketsSold]]</f>
        <v>1</v>
      </c>
      <c r="O176">
        <v>1</v>
      </c>
      <c r="P176">
        <v>0</v>
      </c>
    </row>
    <row r="177" spans="1:16" hidden="1" x14ac:dyDescent="0.3">
      <c r="A177">
        <v>5175</v>
      </c>
      <c r="B177" t="s">
        <v>47</v>
      </c>
      <c r="C177" t="s">
        <v>17</v>
      </c>
      <c r="D177" t="s">
        <v>24</v>
      </c>
      <c r="E177" t="s">
        <v>29</v>
      </c>
      <c r="F177" t="s">
        <v>26</v>
      </c>
      <c r="G177" t="s">
        <v>21</v>
      </c>
      <c r="H177">
        <v>0</v>
      </c>
      <c r="I177" s="3">
        <v>342.65</v>
      </c>
      <c r="K177" s="1">
        <v>0</v>
      </c>
      <c r="L177" t="s">
        <v>30</v>
      </c>
      <c r="M177" t="s">
        <v>22</v>
      </c>
      <c r="N177" s="2">
        <f>Table1[[#This Row],[TotalSales]]/Table1[[#This Row],[TicketPrice]]*Table1[[#This Row],[TicketsSold]]</f>
        <v>0</v>
      </c>
      <c r="O177">
        <v>0</v>
      </c>
      <c r="P177">
        <v>1</v>
      </c>
    </row>
    <row r="178" spans="1:16" x14ac:dyDescent="0.3">
      <c r="A178">
        <v>5176</v>
      </c>
      <c r="B178" t="s">
        <v>48</v>
      </c>
      <c r="C178" t="s">
        <v>28</v>
      </c>
      <c r="D178" t="s">
        <v>33</v>
      </c>
      <c r="E178" t="s">
        <v>29</v>
      </c>
      <c r="F178" t="s">
        <v>20</v>
      </c>
      <c r="G178" t="s">
        <v>40</v>
      </c>
      <c r="H178">
        <v>1</v>
      </c>
      <c r="I178" s="5">
        <v>1265.27</v>
      </c>
      <c r="J178">
        <v>0</v>
      </c>
      <c r="K178" s="4">
        <v>1265.27</v>
      </c>
      <c r="L178" t="s">
        <v>22</v>
      </c>
      <c r="M178" t="s">
        <v>30</v>
      </c>
      <c r="N178" s="2">
        <f>Table1[[#This Row],[TotalSales]]/Table1[[#This Row],[TicketPrice]]*Table1[[#This Row],[TicketsSold]]</f>
        <v>1</v>
      </c>
      <c r="O178">
        <v>1</v>
      </c>
      <c r="P178">
        <v>0</v>
      </c>
    </row>
    <row r="179" spans="1:16" hidden="1" x14ac:dyDescent="0.3">
      <c r="A179">
        <v>5177</v>
      </c>
      <c r="B179" t="s">
        <v>23</v>
      </c>
      <c r="C179" t="s">
        <v>32</v>
      </c>
      <c r="D179" t="s">
        <v>46</v>
      </c>
      <c r="E179" t="s">
        <v>25</v>
      </c>
      <c r="F179" t="s">
        <v>26</v>
      </c>
      <c r="G179" t="s">
        <v>21</v>
      </c>
      <c r="H179">
        <v>0</v>
      </c>
      <c r="I179" s="3">
        <v>1177.52</v>
      </c>
      <c r="J179">
        <v>0</v>
      </c>
      <c r="K179" s="1">
        <v>0</v>
      </c>
      <c r="L179" t="s">
        <v>30</v>
      </c>
      <c r="M179" t="s">
        <v>22</v>
      </c>
      <c r="N179" s="2">
        <f>Table1[[#This Row],[TotalSales]]/Table1[[#This Row],[TicketPrice]]*Table1[[#This Row],[TicketsSold]]</f>
        <v>0</v>
      </c>
      <c r="O179">
        <v>0</v>
      </c>
      <c r="P179">
        <v>1</v>
      </c>
    </row>
    <row r="180" spans="1:16" x14ac:dyDescent="0.3">
      <c r="A180">
        <v>5178</v>
      </c>
      <c r="B180" t="s">
        <v>69</v>
      </c>
      <c r="C180" t="s">
        <v>32</v>
      </c>
      <c r="D180" t="s">
        <v>43</v>
      </c>
      <c r="E180" t="s">
        <v>19</v>
      </c>
      <c r="F180" t="s">
        <v>26</v>
      </c>
      <c r="G180" t="s">
        <v>21</v>
      </c>
      <c r="H180">
        <v>4</v>
      </c>
      <c r="I180" s="5">
        <v>1163.07</v>
      </c>
      <c r="J180">
        <v>0</v>
      </c>
      <c r="K180" s="4">
        <v>4652.28</v>
      </c>
      <c r="L180" t="s">
        <v>30</v>
      </c>
      <c r="M180" t="s">
        <v>22</v>
      </c>
      <c r="N180" s="2">
        <f>Table1[[#This Row],[TotalSales]]/Table1[[#This Row],[TicketPrice]]*Table1[[#This Row],[TicketsSold]]</f>
        <v>16</v>
      </c>
      <c r="O180">
        <v>0</v>
      </c>
      <c r="P180">
        <v>1</v>
      </c>
    </row>
    <row r="181" spans="1:16" x14ac:dyDescent="0.3">
      <c r="A181">
        <v>5179</v>
      </c>
      <c r="B181" t="s">
        <v>75</v>
      </c>
      <c r="C181" t="s">
        <v>28</v>
      </c>
      <c r="D181" t="s">
        <v>33</v>
      </c>
      <c r="E181" t="s">
        <v>25</v>
      </c>
      <c r="F181" t="s">
        <v>20</v>
      </c>
      <c r="G181" t="s">
        <v>21</v>
      </c>
      <c r="H181">
        <v>5</v>
      </c>
      <c r="I181" s="5">
        <v>1475.5</v>
      </c>
      <c r="J181">
        <v>0</v>
      </c>
      <c r="K181" s="4">
        <v>7377.5</v>
      </c>
      <c r="L181" t="s">
        <v>30</v>
      </c>
      <c r="M181" t="s">
        <v>22</v>
      </c>
      <c r="N181" s="2">
        <f>Table1[[#This Row],[TotalSales]]/Table1[[#This Row],[TicketPrice]]*Table1[[#This Row],[TicketsSold]]</f>
        <v>25</v>
      </c>
      <c r="O181">
        <v>0</v>
      </c>
      <c r="P181">
        <v>1</v>
      </c>
    </row>
    <row r="182" spans="1:16" x14ac:dyDescent="0.3">
      <c r="A182">
        <v>5180</v>
      </c>
      <c r="B182" t="s">
        <v>53</v>
      </c>
      <c r="C182" t="s">
        <v>32</v>
      </c>
      <c r="D182" t="s">
        <v>46</v>
      </c>
      <c r="E182" t="s">
        <v>29</v>
      </c>
      <c r="F182" t="s">
        <v>26</v>
      </c>
      <c r="G182" t="s">
        <v>40</v>
      </c>
      <c r="H182">
        <v>2</v>
      </c>
      <c r="I182" s="5">
        <v>385.31</v>
      </c>
      <c r="J182">
        <v>0</v>
      </c>
      <c r="K182" s="4">
        <v>770.62</v>
      </c>
      <c r="L182" t="s">
        <v>22</v>
      </c>
      <c r="M182" t="s">
        <v>22</v>
      </c>
      <c r="N182" s="2">
        <f>Table1[[#This Row],[TotalSales]]/Table1[[#This Row],[TicketPrice]]*Table1[[#This Row],[TicketsSold]]</f>
        <v>4</v>
      </c>
      <c r="O182">
        <v>1</v>
      </c>
      <c r="P182">
        <v>1</v>
      </c>
    </row>
    <row r="183" spans="1:16" x14ac:dyDescent="0.3">
      <c r="A183">
        <v>5181</v>
      </c>
      <c r="B183" t="s">
        <v>38</v>
      </c>
      <c r="C183" t="s">
        <v>32</v>
      </c>
      <c r="D183" t="s">
        <v>18</v>
      </c>
      <c r="E183" t="s">
        <v>29</v>
      </c>
      <c r="F183" t="s">
        <v>26</v>
      </c>
      <c r="G183" t="s">
        <v>21</v>
      </c>
      <c r="H183">
        <v>2</v>
      </c>
      <c r="I183" s="5">
        <v>460.92</v>
      </c>
      <c r="J183">
        <v>0</v>
      </c>
      <c r="K183" s="4">
        <v>921.84</v>
      </c>
      <c r="L183" t="s">
        <v>30</v>
      </c>
      <c r="M183" t="s">
        <v>22</v>
      </c>
      <c r="N183" s="2">
        <f>Table1[[#This Row],[TotalSales]]/Table1[[#This Row],[TicketPrice]]*Table1[[#This Row],[TicketsSold]]</f>
        <v>4</v>
      </c>
      <c r="O183">
        <v>0</v>
      </c>
      <c r="P183">
        <v>1</v>
      </c>
    </row>
    <row r="184" spans="1:16" x14ac:dyDescent="0.3">
      <c r="A184">
        <v>5182</v>
      </c>
      <c r="B184" t="s">
        <v>79</v>
      </c>
      <c r="C184" t="s">
        <v>32</v>
      </c>
      <c r="D184" t="s">
        <v>46</v>
      </c>
      <c r="E184" t="s">
        <v>29</v>
      </c>
      <c r="F184" t="s">
        <v>34</v>
      </c>
      <c r="G184" t="s">
        <v>40</v>
      </c>
      <c r="H184">
        <v>1</v>
      </c>
      <c r="I184" s="5">
        <v>1457.63</v>
      </c>
      <c r="J184">
        <v>0.05</v>
      </c>
      <c r="K184" s="4">
        <v>1384.7485000000001</v>
      </c>
      <c r="L184" t="s">
        <v>30</v>
      </c>
      <c r="M184" t="s">
        <v>30</v>
      </c>
      <c r="N184" s="2">
        <f>Table1[[#This Row],[TotalSales]]/Table1[[#This Row],[TicketPrice]]*Table1[[#This Row],[TicketsSold]]</f>
        <v>0.95000000000000007</v>
      </c>
      <c r="O184">
        <v>0</v>
      </c>
      <c r="P184">
        <v>0</v>
      </c>
    </row>
    <row r="185" spans="1:16" x14ac:dyDescent="0.3">
      <c r="A185">
        <v>5183</v>
      </c>
      <c r="B185" t="s">
        <v>89</v>
      </c>
      <c r="C185" t="s">
        <v>32</v>
      </c>
      <c r="D185" t="s">
        <v>24</v>
      </c>
      <c r="E185" t="s">
        <v>29</v>
      </c>
      <c r="F185" t="s">
        <v>26</v>
      </c>
      <c r="G185" t="s">
        <v>35</v>
      </c>
      <c r="H185">
        <v>3</v>
      </c>
      <c r="I185" s="5">
        <v>1222.75</v>
      </c>
      <c r="J185">
        <v>0</v>
      </c>
      <c r="K185" s="4">
        <v>3668.25</v>
      </c>
      <c r="L185" t="s">
        <v>30</v>
      </c>
      <c r="M185" t="s">
        <v>22</v>
      </c>
      <c r="N185" s="2">
        <f>Table1[[#This Row],[TotalSales]]/Table1[[#This Row],[TicketPrice]]*Table1[[#This Row],[TicketsSold]]</f>
        <v>9</v>
      </c>
      <c r="O185">
        <v>0</v>
      </c>
      <c r="P185">
        <v>1</v>
      </c>
    </row>
    <row r="186" spans="1:16" x14ac:dyDescent="0.3">
      <c r="A186">
        <v>5184</v>
      </c>
      <c r="B186" t="s">
        <v>55</v>
      </c>
      <c r="C186" t="s">
        <v>28</v>
      </c>
      <c r="D186" t="s">
        <v>45</v>
      </c>
      <c r="E186" t="s">
        <v>29</v>
      </c>
      <c r="F186" t="s">
        <v>26</v>
      </c>
      <c r="G186" t="s">
        <v>21</v>
      </c>
      <c r="H186">
        <v>1</v>
      </c>
      <c r="I186" s="5">
        <v>937.25</v>
      </c>
      <c r="J186">
        <v>0.1</v>
      </c>
      <c r="K186" s="4">
        <v>843.52499999999998</v>
      </c>
      <c r="L186" t="s">
        <v>30</v>
      </c>
      <c r="M186" t="s">
        <v>22</v>
      </c>
      <c r="N186" s="2">
        <f>Table1[[#This Row],[TotalSales]]/Table1[[#This Row],[TicketPrice]]*Table1[[#This Row],[TicketsSold]]</f>
        <v>0.9</v>
      </c>
      <c r="O186">
        <v>0</v>
      </c>
      <c r="P186">
        <v>1</v>
      </c>
    </row>
    <row r="187" spans="1:16" x14ac:dyDescent="0.3">
      <c r="A187">
        <v>5185</v>
      </c>
      <c r="B187" t="s">
        <v>90</v>
      </c>
      <c r="C187" t="s">
        <v>28</v>
      </c>
      <c r="D187" t="s">
        <v>33</v>
      </c>
      <c r="E187" t="s">
        <v>19</v>
      </c>
      <c r="F187" t="s">
        <v>26</v>
      </c>
      <c r="G187" t="s">
        <v>21</v>
      </c>
      <c r="H187">
        <v>3</v>
      </c>
      <c r="I187" s="5">
        <v>300.72000000000003</v>
      </c>
      <c r="J187">
        <v>0</v>
      </c>
      <c r="K187" s="4">
        <v>902.16000000000008</v>
      </c>
      <c r="L187" t="s">
        <v>30</v>
      </c>
      <c r="M187" t="s">
        <v>30</v>
      </c>
      <c r="N187" s="2">
        <f>Table1[[#This Row],[TotalSales]]/Table1[[#This Row],[TicketPrice]]*Table1[[#This Row],[TicketsSold]]</f>
        <v>9</v>
      </c>
      <c r="O187">
        <v>0</v>
      </c>
      <c r="P187">
        <v>0</v>
      </c>
    </row>
    <row r="188" spans="1:16" hidden="1" x14ac:dyDescent="0.3">
      <c r="A188">
        <v>5186</v>
      </c>
      <c r="B188" t="s">
        <v>85</v>
      </c>
      <c r="C188" t="s">
        <v>32</v>
      </c>
      <c r="D188" t="s">
        <v>46</v>
      </c>
      <c r="E188" t="s">
        <v>29</v>
      </c>
      <c r="F188" t="s">
        <v>26</v>
      </c>
      <c r="G188" t="s">
        <v>35</v>
      </c>
      <c r="H188">
        <v>0</v>
      </c>
      <c r="I188" s="3">
        <v>667.99</v>
      </c>
      <c r="J188">
        <v>0</v>
      </c>
      <c r="K188" s="1">
        <v>0</v>
      </c>
      <c r="L188" t="s">
        <v>30</v>
      </c>
      <c r="M188" t="s">
        <v>22</v>
      </c>
      <c r="N188" s="2">
        <f>Table1[[#This Row],[TotalSales]]/Table1[[#This Row],[TicketPrice]]*Table1[[#This Row],[TicketsSold]]</f>
        <v>0</v>
      </c>
      <c r="O188">
        <v>0</v>
      </c>
      <c r="P188">
        <v>1</v>
      </c>
    </row>
    <row r="189" spans="1:16" x14ac:dyDescent="0.3">
      <c r="A189">
        <v>5187</v>
      </c>
      <c r="B189" t="s">
        <v>92</v>
      </c>
      <c r="C189" t="s">
        <v>32</v>
      </c>
      <c r="D189" t="s">
        <v>45</v>
      </c>
      <c r="E189" t="s">
        <v>29</v>
      </c>
      <c r="F189" t="s">
        <v>34</v>
      </c>
      <c r="G189" t="s">
        <v>21</v>
      </c>
      <c r="H189">
        <v>5</v>
      </c>
      <c r="I189" s="5">
        <v>451.12</v>
      </c>
      <c r="J189">
        <v>0.05</v>
      </c>
      <c r="K189" s="4">
        <v>2142.8199999999997</v>
      </c>
      <c r="L189" t="s">
        <v>22</v>
      </c>
      <c r="M189" t="s">
        <v>30</v>
      </c>
      <c r="N189" s="2">
        <f>Table1[[#This Row],[TotalSales]]/Table1[[#This Row],[TicketPrice]]*Table1[[#This Row],[TicketsSold]]</f>
        <v>23.749999999999996</v>
      </c>
      <c r="O189">
        <v>1</v>
      </c>
      <c r="P189">
        <v>0</v>
      </c>
    </row>
    <row r="190" spans="1:16" hidden="1" x14ac:dyDescent="0.3">
      <c r="A190">
        <v>5188</v>
      </c>
      <c r="B190" t="s">
        <v>23</v>
      </c>
      <c r="C190" t="s">
        <v>28</v>
      </c>
      <c r="D190" t="s">
        <v>43</v>
      </c>
      <c r="E190" t="s">
        <v>19</v>
      </c>
      <c r="F190" t="s">
        <v>26</v>
      </c>
      <c r="G190" t="s">
        <v>21</v>
      </c>
      <c r="H190">
        <v>0</v>
      </c>
      <c r="I190" s="3">
        <v>447.69</v>
      </c>
      <c r="J190">
        <v>0.1</v>
      </c>
      <c r="K190" s="1">
        <v>0</v>
      </c>
      <c r="L190" t="s">
        <v>22</v>
      </c>
      <c r="M190" t="s">
        <v>22</v>
      </c>
      <c r="N190" s="2">
        <f>Table1[[#This Row],[TotalSales]]/Table1[[#This Row],[TicketPrice]]*Table1[[#This Row],[TicketsSold]]</f>
        <v>0</v>
      </c>
      <c r="O190">
        <v>1</v>
      </c>
      <c r="P190">
        <v>1</v>
      </c>
    </row>
    <row r="191" spans="1:16" x14ac:dyDescent="0.3">
      <c r="A191">
        <v>5189</v>
      </c>
      <c r="B191" t="s">
        <v>76</v>
      </c>
      <c r="C191" t="s">
        <v>32</v>
      </c>
      <c r="D191" t="s">
        <v>45</v>
      </c>
      <c r="E191" t="s">
        <v>29</v>
      </c>
      <c r="F191" t="s">
        <v>26</v>
      </c>
      <c r="G191" t="s">
        <v>21</v>
      </c>
      <c r="H191">
        <v>1</v>
      </c>
      <c r="I191" s="5">
        <v>984.12</v>
      </c>
      <c r="J191">
        <v>0.05</v>
      </c>
      <c r="K191" s="4">
        <v>934.91399999999999</v>
      </c>
      <c r="L191" t="s">
        <v>22</v>
      </c>
      <c r="M191" t="s">
        <v>30</v>
      </c>
      <c r="N191" s="2">
        <f>Table1[[#This Row],[TotalSales]]/Table1[[#This Row],[TicketPrice]]*Table1[[#This Row],[TicketsSold]]</f>
        <v>0.95</v>
      </c>
      <c r="O191">
        <v>1</v>
      </c>
      <c r="P191">
        <v>0</v>
      </c>
    </row>
    <row r="192" spans="1:16" x14ac:dyDescent="0.3">
      <c r="A192">
        <v>5190</v>
      </c>
      <c r="B192" t="s">
        <v>78</v>
      </c>
      <c r="C192" t="s">
        <v>28</v>
      </c>
      <c r="D192" t="s">
        <v>46</v>
      </c>
      <c r="E192" t="s">
        <v>29</v>
      </c>
      <c r="F192" t="s">
        <v>34</v>
      </c>
      <c r="G192" t="s">
        <v>35</v>
      </c>
      <c r="H192">
        <v>1</v>
      </c>
      <c r="I192" s="5">
        <v>224.81</v>
      </c>
      <c r="J192">
        <v>0.1</v>
      </c>
      <c r="K192" s="4">
        <v>202.32900000000001</v>
      </c>
      <c r="L192" t="s">
        <v>30</v>
      </c>
      <c r="M192" t="s">
        <v>22</v>
      </c>
      <c r="N192" s="2">
        <f>Table1[[#This Row],[TotalSales]]/Table1[[#This Row],[TicketPrice]]*Table1[[#This Row],[TicketsSold]]</f>
        <v>0.9</v>
      </c>
      <c r="O192">
        <v>0</v>
      </c>
      <c r="P192">
        <v>1</v>
      </c>
    </row>
    <row r="193" spans="1:16" x14ac:dyDescent="0.3">
      <c r="A193">
        <v>5191</v>
      </c>
      <c r="B193" t="s">
        <v>81</v>
      </c>
      <c r="C193" t="s">
        <v>32</v>
      </c>
      <c r="D193" t="s">
        <v>46</v>
      </c>
      <c r="E193" t="s">
        <v>29</v>
      </c>
      <c r="F193" t="s">
        <v>34</v>
      </c>
      <c r="G193" t="s">
        <v>40</v>
      </c>
      <c r="H193">
        <v>1</v>
      </c>
      <c r="I193" s="5">
        <v>678.01</v>
      </c>
      <c r="J193">
        <v>0.1</v>
      </c>
      <c r="K193" s="4">
        <v>610.20900000000006</v>
      </c>
      <c r="L193" t="s">
        <v>30</v>
      </c>
      <c r="M193" t="s">
        <v>22</v>
      </c>
      <c r="N193" s="2">
        <f>Table1[[#This Row],[TotalSales]]/Table1[[#This Row],[TicketPrice]]*Table1[[#This Row],[TicketsSold]]</f>
        <v>0.90000000000000013</v>
      </c>
      <c r="O193">
        <v>0</v>
      </c>
      <c r="P193">
        <v>1</v>
      </c>
    </row>
    <row r="194" spans="1:16" x14ac:dyDescent="0.3">
      <c r="A194">
        <v>5192</v>
      </c>
      <c r="B194" t="s">
        <v>62</v>
      </c>
      <c r="C194" t="s">
        <v>28</v>
      </c>
      <c r="D194" t="s">
        <v>24</v>
      </c>
      <c r="E194" t="s">
        <v>29</v>
      </c>
      <c r="F194" t="s">
        <v>34</v>
      </c>
      <c r="G194" t="s">
        <v>40</v>
      </c>
      <c r="H194">
        <v>1</v>
      </c>
      <c r="I194" s="5">
        <v>591.26</v>
      </c>
      <c r="J194">
        <v>0</v>
      </c>
      <c r="K194" s="4">
        <v>591.26</v>
      </c>
      <c r="L194" t="s">
        <v>22</v>
      </c>
      <c r="M194" t="s">
        <v>30</v>
      </c>
      <c r="N194" s="2">
        <f>Table1[[#This Row],[TotalSales]]/Table1[[#This Row],[TicketPrice]]*Table1[[#This Row],[TicketsSold]]</f>
        <v>1</v>
      </c>
      <c r="O194">
        <v>1</v>
      </c>
      <c r="P194">
        <v>0</v>
      </c>
    </row>
    <row r="195" spans="1:16" x14ac:dyDescent="0.3">
      <c r="A195">
        <v>5193</v>
      </c>
      <c r="B195" t="s">
        <v>31</v>
      </c>
      <c r="C195" t="s">
        <v>17</v>
      </c>
      <c r="D195" t="s">
        <v>33</v>
      </c>
      <c r="E195" t="s">
        <v>25</v>
      </c>
      <c r="F195" t="s">
        <v>34</v>
      </c>
      <c r="G195" t="s">
        <v>35</v>
      </c>
      <c r="H195">
        <v>1</v>
      </c>
      <c r="I195" s="5">
        <v>906.64</v>
      </c>
      <c r="J195">
        <v>0</v>
      </c>
      <c r="K195" s="4">
        <v>906.64</v>
      </c>
      <c r="L195" t="s">
        <v>22</v>
      </c>
      <c r="M195" t="s">
        <v>30</v>
      </c>
      <c r="N195" s="2">
        <f>Table1[[#This Row],[TotalSales]]/Table1[[#This Row],[TicketPrice]]*Table1[[#This Row],[TicketsSold]]</f>
        <v>1</v>
      </c>
      <c r="O195">
        <v>1</v>
      </c>
      <c r="P195">
        <v>0</v>
      </c>
    </row>
    <row r="196" spans="1:16" x14ac:dyDescent="0.3">
      <c r="A196">
        <v>5194</v>
      </c>
      <c r="B196" t="s">
        <v>57</v>
      </c>
      <c r="C196" t="s">
        <v>17</v>
      </c>
      <c r="D196" t="s">
        <v>18</v>
      </c>
      <c r="E196" t="s">
        <v>29</v>
      </c>
      <c r="F196" t="s">
        <v>34</v>
      </c>
      <c r="G196" t="s">
        <v>21</v>
      </c>
      <c r="H196">
        <v>2</v>
      </c>
      <c r="I196" s="5">
        <v>188.27</v>
      </c>
      <c r="J196">
        <v>0.05</v>
      </c>
      <c r="K196" s="4">
        <v>357.71300000000002</v>
      </c>
      <c r="L196" t="s">
        <v>30</v>
      </c>
      <c r="M196" t="s">
        <v>22</v>
      </c>
      <c r="N196" s="2">
        <f>Table1[[#This Row],[TotalSales]]/Table1[[#This Row],[TicketPrice]]*Table1[[#This Row],[TicketsSold]]</f>
        <v>3.8</v>
      </c>
      <c r="O196">
        <v>0</v>
      </c>
      <c r="P196">
        <v>1</v>
      </c>
    </row>
    <row r="197" spans="1:16" x14ac:dyDescent="0.3">
      <c r="A197">
        <v>5195</v>
      </c>
      <c r="B197" t="s">
        <v>70</v>
      </c>
      <c r="C197" t="s">
        <v>17</v>
      </c>
      <c r="D197" t="s">
        <v>46</v>
      </c>
      <c r="E197" t="s">
        <v>29</v>
      </c>
      <c r="F197" t="s">
        <v>34</v>
      </c>
      <c r="G197" t="s">
        <v>35</v>
      </c>
      <c r="H197">
        <v>4</v>
      </c>
      <c r="I197" s="5">
        <v>1443.47</v>
      </c>
      <c r="J197">
        <v>0</v>
      </c>
      <c r="K197" s="4">
        <v>5773.88</v>
      </c>
      <c r="L197" t="s">
        <v>22</v>
      </c>
      <c r="M197" t="s">
        <v>22</v>
      </c>
      <c r="N197" s="2">
        <f>Table1[[#This Row],[TotalSales]]/Table1[[#This Row],[TicketPrice]]*Table1[[#This Row],[TicketsSold]]</f>
        <v>16</v>
      </c>
      <c r="O197">
        <v>1</v>
      </c>
      <c r="P197">
        <v>1</v>
      </c>
    </row>
    <row r="198" spans="1:16" x14ac:dyDescent="0.3">
      <c r="A198">
        <v>5196</v>
      </c>
      <c r="B198" t="s">
        <v>72</v>
      </c>
      <c r="C198" t="s">
        <v>17</v>
      </c>
      <c r="D198" t="s">
        <v>33</v>
      </c>
      <c r="E198" t="s">
        <v>29</v>
      </c>
      <c r="F198" t="s">
        <v>34</v>
      </c>
      <c r="G198" t="s">
        <v>35</v>
      </c>
      <c r="H198">
        <v>3</v>
      </c>
      <c r="I198" s="5">
        <v>957.61</v>
      </c>
      <c r="J198">
        <v>0.1</v>
      </c>
      <c r="K198" s="4">
        <v>2585.547</v>
      </c>
      <c r="L198" t="s">
        <v>30</v>
      </c>
      <c r="M198" t="s">
        <v>22</v>
      </c>
      <c r="N198" s="2">
        <f>Table1[[#This Row],[TotalSales]]/Table1[[#This Row],[TicketPrice]]*Table1[[#This Row],[TicketsSold]]</f>
        <v>8.1000000000000014</v>
      </c>
      <c r="O198">
        <v>0</v>
      </c>
      <c r="P198">
        <v>1</v>
      </c>
    </row>
    <row r="199" spans="1:16" x14ac:dyDescent="0.3">
      <c r="A199">
        <v>5197</v>
      </c>
      <c r="B199" t="s">
        <v>93</v>
      </c>
      <c r="C199" t="s">
        <v>28</v>
      </c>
      <c r="D199" t="s">
        <v>46</v>
      </c>
      <c r="E199" t="s">
        <v>29</v>
      </c>
      <c r="F199" t="s">
        <v>26</v>
      </c>
      <c r="G199" t="s">
        <v>40</v>
      </c>
      <c r="H199">
        <v>2</v>
      </c>
      <c r="I199" s="5">
        <v>645.78</v>
      </c>
      <c r="J199">
        <v>0.1</v>
      </c>
      <c r="K199" s="4">
        <v>1162.404</v>
      </c>
      <c r="L199" t="s">
        <v>30</v>
      </c>
      <c r="M199" t="s">
        <v>30</v>
      </c>
      <c r="N199" s="2">
        <f>Table1[[#This Row],[TotalSales]]/Table1[[#This Row],[TicketPrice]]*Table1[[#This Row],[TicketsSold]]</f>
        <v>3.6</v>
      </c>
      <c r="O199">
        <v>0</v>
      </c>
      <c r="P199">
        <v>0</v>
      </c>
    </row>
    <row r="200" spans="1:16" x14ac:dyDescent="0.3">
      <c r="A200">
        <v>5198</v>
      </c>
      <c r="B200" t="s">
        <v>52</v>
      </c>
      <c r="C200" t="s">
        <v>28</v>
      </c>
      <c r="D200" t="s">
        <v>45</v>
      </c>
      <c r="E200" t="s">
        <v>29</v>
      </c>
      <c r="F200" t="s">
        <v>26</v>
      </c>
      <c r="G200" t="s">
        <v>21</v>
      </c>
      <c r="H200">
        <v>1</v>
      </c>
      <c r="I200" s="5">
        <v>396.36</v>
      </c>
      <c r="J200">
        <v>0</v>
      </c>
      <c r="K200" s="4">
        <v>396.36</v>
      </c>
      <c r="L200" t="s">
        <v>30</v>
      </c>
      <c r="M200" t="s">
        <v>30</v>
      </c>
      <c r="N200" s="2">
        <f>Table1[[#This Row],[TotalSales]]/Table1[[#This Row],[TicketPrice]]*Table1[[#This Row],[TicketsSold]]</f>
        <v>1</v>
      </c>
      <c r="O200">
        <v>0</v>
      </c>
      <c r="P200">
        <v>0</v>
      </c>
    </row>
    <row r="201" spans="1:16" x14ac:dyDescent="0.3">
      <c r="A201">
        <v>5199</v>
      </c>
      <c r="B201" t="s">
        <v>88</v>
      </c>
      <c r="C201" t="s">
        <v>17</v>
      </c>
      <c r="D201" t="s">
        <v>33</v>
      </c>
      <c r="E201" t="s">
        <v>19</v>
      </c>
      <c r="F201" t="s">
        <v>34</v>
      </c>
      <c r="G201" t="s">
        <v>40</v>
      </c>
      <c r="H201">
        <v>1</v>
      </c>
      <c r="I201" s="5">
        <v>1159.6400000000001</v>
      </c>
      <c r="J201">
        <v>0.05</v>
      </c>
      <c r="K201" s="4">
        <v>1101.6580000000001</v>
      </c>
      <c r="L201" t="s">
        <v>22</v>
      </c>
      <c r="M201" t="s">
        <v>30</v>
      </c>
      <c r="N201" s="2">
        <f>Table1[[#This Row],[TotalSales]]/Table1[[#This Row],[TicketPrice]]*Table1[[#This Row],[TicketsSold]]</f>
        <v>0.95000000000000007</v>
      </c>
      <c r="O201">
        <v>1</v>
      </c>
      <c r="P201">
        <v>0</v>
      </c>
    </row>
    <row r="202" spans="1:16" x14ac:dyDescent="0.3">
      <c r="A202">
        <v>5200</v>
      </c>
      <c r="B202" t="s">
        <v>64</v>
      </c>
      <c r="C202" t="s">
        <v>32</v>
      </c>
      <c r="D202" t="s">
        <v>18</v>
      </c>
      <c r="E202" t="s">
        <v>29</v>
      </c>
      <c r="F202" t="s">
        <v>20</v>
      </c>
      <c r="G202" t="s">
        <v>35</v>
      </c>
      <c r="H202">
        <v>3</v>
      </c>
      <c r="I202" s="5">
        <v>1102.6400000000001</v>
      </c>
      <c r="J202">
        <v>0.1</v>
      </c>
      <c r="K202" s="4">
        <v>2977.1280000000002</v>
      </c>
      <c r="L202" t="s">
        <v>30</v>
      </c>
      <c r="M202" t="s">
        <v>22</v>
      </c>
      <c r="N202" s="2">
        <f>Table1[[#This Row],[TotalSales]]/Table1[[#This Row],[TicketPrice]]*Table1[[#This Row],[TicketsSold]]</f>
        <v>8.1</v>
      </c>
      <c r="O202">
        <v>0</v>
      </c>
      <c r="P202">
        <v>1</v>
      </c>
    </row>
    <row r="203" spans="1:16" x14ac:dyDescent="0.3">
      <c r="A203">
        <v>5201</v>
      </c>
      <c r="B203" t="s">
        <v>75</v>
      </c>
      <c r="C203" t="s">
        <v>28</v>
      </c>
      <c r="D203" t="s">
        <v>24</v>
      </c>
      <c r="E203" t="s">
        <v>19</v>
      </c>
      <c r="F203" t="s">
        <v>34</v>
      </c>
      <c r="G203" t="s">
        <v>40</v>
      </c>
      <c r="H203">
        <v>5</v>
      </c>
      <c r="I203" s="5">
        <v>1483.79</v>
      </c>
      <c r="J203">
        <v>0.1</v>
      </c>
      <c r="K203" s="4">
        <v>6677.0550000000003</v>
      </c>
      <c r="L203" t="s">
        <v>22</v>
      </c>
      <c r="M203" t="s">
        <v>30</v>
      </c>
      <c r="N203" s="2">
        <f>Table1[[#This Row],[TotalSales]]/Table1[[#This Row],[TicketPrice]]*Table1[[#This Row],[TicketsSold]]</f>
        <v>22.5</v>
      </c>
      <c r="O203">
        <v>1</v>
      </c>
      <c r="P203">
        <v>0</v>
      </c>
    </row>
    <row r="204" spans="1:16" x14ac:dyDescent="0.3">
      <c r="A204">
        <v>5202</v>
      </c>
      <c r="B204" t="s">
        <v>16</v>
      </c>
      <c r="C204" t="s">
        <v>28</v>
      </c>
      <c r="D204" t="s">
        <v>43</v>
      </c>
      <c r="E204" t="s">
        <v>25</v>
      </c>
      <c r="F204" t="s">
        <v>26</v>
      </c>
      <c r="G204" t="s">
        <v>40</v>
      </c>
      <c r="H204">
        <v>1</v>
      </c>
      <c r="I204" s="5">
        <v>248.32</v>
      </c>
      <c r="J204">
        <v>0</v>
      </c>
      <c r="K204" s="4">
        <v>248.32</v>
      </c>
      <c r="L204" t="s">
        <v>30</v>
      </c>
      <c r="M204" t="s">
        <v>22</v>
      </c>
      <c r="N204" s="2">
        <f>Table1[[#This Row],[TotalSales]]/Table1[[#This Row],[TicketPrice]]*Table1[[#This Row],[TicketsSold]]</f>
        <v>1</v>
      </c>
      <c r="O204">
        <v>0</v>
      </c>
      <c r="P204">
        <v>1</v>
      </c>
    </row>
    <row r="205" spans="1:16" x14ac:dyDescent="0.3">
      <c r="A205">
        <v>5203</v>
      </c>
      <c r="B205" t="s">
        <v>23</v>
      </c>
      <c r="C205" t="s">
        <v>28</v>
      </c>
      <c r="D205" t="s">
        <v>33</v>
      </c>
      <c r="E205" t="s">
        <v>19</v>
      </c>
      <c r="F205" t="s">
        <v>26</v>
      </c>
      <c r="G205" t="s">
        <v>40</v>
      </c>
      <c r="H205">
        <v>2</v>
      </c>
      <c r="I205" s="5">
        <v>931.27</v>
      </c>
      <c r="J205">
        <v>0</v>
      </c>
      <c r="K205" s="4">
        <v>1862.54</v>
      </c>
      <c r="L205" t="s">
        <v>22</v>
      </c>
      <c r="M205" t="s">
        <v>22</v>
      </c>
      <c r="N205" s="2">
        <f>Table1[[#This Row],[TotalSales]]/Table1[[#This Row],[TicketPrice]]*Table1[[#This Row],[TicketsSold]]</f>
        <v>4</v>
      </c>
      <c r="O205">
        <v>1</v>
      </c>
      <c r="P205">
        <v>1</v>
      </c>
    </row>
    <row r="206" spans="1:16" x14ac:dyDescent="0.3">
      <c r="A206">
        <v>5204</v>
      </c>
      <c r="B206" t="s">
        <v>63</v>
      </c>
      <c r="C206" t="s">
        <v>32</v>
      </c>
      <c r="D206" t="s">
        <v>18</v>
      </c>
      <c r="E206" t="s">
        <v>29</v>
      </c>
      <c r="F206" t="s">
        <v>20</v>
      </c>
      <c r="G206" t="s">
        <v>21</v>
      </c>
      <c r="H206">
        <v>3</v>
      </c>
      <c r="I206" s="5">
        <v>417.62</v>
      </c>
      <c r="J206">
        <v>0</v>
      </c>
      <c r="K206" s="4">
        <v>1252.8600000000001</v>
      </c>
      <c r="L206" t="s">
        <v>22</v>
      </c>
      <c r="M206" t="s">
        <v>22</v>
      </c>
      <c r="N206" s="2">
        <f>Table1[[#This Row],[TotalSales]]/Table1[[#This Row],[TicketPrice]]*Table1[[#This Row],[TicketsSold]]</f>
        <v>9.0000000000000018</v>
      </c>
      <c r="O206">
        <v>1</v>
      </c>
      <c r="P206">
        <v>1</v>
      </c>
    </row>
    <row r="207" spans="1:16" hidden="1" x14ac:dyDescent="0.3">
      <c r="A207">
        <v>5205</v>
      </c>
      <c r="B207" t="s">
        <v>92</v>
      </c>
      <c r="C207" t="s">
        <v>17</v>
      </c>
      <c r="D207" t="s">
        <v>18</v>
      </c>
      <c r="E207" t="s">
        <v>19</v>
      </c>
      <c r="F207" t="s">
        <v>26</v>
      </c>
      <c r="G207" t="s">
        <v>35</v>
      </c>
      <c r="H207">
        <v>0</v>
      </c>
      <c r="I207" s="3">
        <v>343.22</v>
      </c>
      <c r="J207">
        <v>0</v>
      </c>
      <c r="K207" s="1">
        <v>0</v>
      </c>
      <c r="L207" t="s">
        <v>30</v>
      </c>
      <c r="M207" t="s">
        <v>22</v>
      </c>
      <c r="N207" s="2">
        <f>Table1[[#This Row],[TotalSales]]/Table1[[#This Row],[TicketPrice]]*Table1[[#This Row],[TicketsSold]]</f>
        <v>0</v>
      </c>
      <c r="O207">
        <v>0</v>
      </c>
      <c r="P207">
        <v>1</v>
      </c>
    </row>
    <row r="208" spans="1:16" x14ac:dyDescent="0.3">
      <c r="A208">
        <v>5206</v>
      </c>
      <c r="B208" t="s">
        <v>61</v>
      </c>
      <c r="C208" t="s">
        <v>28</v>
      </c>
      <c r="D208" t="s">
        <v>43</v>
      </c>
      <c r="E208" t="s">
        <v>29</v>
      </c>
      <c r="F208" t="s">
        <v>26</v>
      </c>
      <c r="G208" t="s">
        <v>40</v>
      </c>
      <c r="H208">
        <v>1</v>
      </c>
      <c r="I208" s="5">
        <v>992.96</v>
      </c>
      <c r="J208">
        <v>0.1</v>
      </c>
      <c r="K208" s="4">
        <v>893.6640000000001</v>
      </c>
      <c r="L208" t="s">
        <v>22</v>
      </c>
      <c r="M208" t="s">
        <v>22</v>
      </c>
      <c r="N208" s="2">
        <f>Table1[[#This Row],[TotalSales]]/Table1[[#This Row],[TicketPrice]]*Table1[[#This Row],[TicketsSold]]</f>
        <v>0.9</v>
      </c>
      <c r="O208">
        <v>1</v>
      </c>
      <c r="P208">
        <v>1</v>
      </c>
    </row>
    <row r="209" spans="1:16" hidden="1" x14ac:dyDescent="0.3">
      <c r="A209">
        <v>5207</v>
      </c>
      <c r="B209" t="s">
        <v>53</v>
      </c>
      <c r="C209" t="s">
        <v>17</v>
      </c>
      <c r="D209" t="s">
        <v>24</v>
      </c>
      <c r="E209" t="s">
        <v>25</v>
      </c>
      <c r="F209" t="s">
        <v>34</v>
      </c>
      <c r="G209" t="s">
        <v>40</v>
      </c>
      <c r="H209">
        <v>0</v>
      </c>
      <c r="I209" s="3">
        <v>885.63</v>
      </c>
      <c r="J209">
        <v>0.1</v>
      </c>
      <c r="K209" s="1">
        <v>0</v>
      </c>
      <c r="L209" t="s">
        <v>22</v>
      </c>
      <c r="M209" t="s">
        <v>22</v>
      </c>
      <c r="N209" s="2">
        <f>Table1[[#This Row],[TotalSales]]/Table1[[#This Row],[TicketPrice]]*Table1[[#This Row],[TicketsSold]]</f>
        <v>0</v>
      </c>
      <c r="O209">
        <v>1</v>
      </c>
      <c r="P209">
        <v>1</v>
      </c>
    </row>
    <row r="210" spans="1:16" hidden="1" x14ac:dyDescent="0.3">
      <c r="A210">
        <v>5208</v>
      </c>
      <c r="B210" t="s">
        <v>91</v>
      </c>
      <c r="C210" t="s">
        <v>28</v>
      </c>
      <c r="D210" t="s">
        <v>18</v>
      </c>
      <c r="E210" t="s">
        <v>19</v>
      </c>
      <c r="F210" t="s">
        <v>34</v>
      </c>
      <c r="G210" t="s">
        <v>40</v>
      </c>
      <c r="H210">
        <v>0</v>
      </c>
      <c r="I210" s="3">
        <v>1069.31</v>
      </c>
      <c r="J210">
        <v>0.1</v>
      </c>
      <c r="K210" s="1">
        <v>0</v>
      </c>
      <c r="L210" t="s">
        <v>30</v>
      </c>
      <c r="M210" t="s">
        <v>30</v>
      </c>
      <c r="N210" s="2">
        <f>Table1[[#This Row],[TotalSales]]/Table1[[#This Row],[TicketPrice]]*Table1[[#This Row],[TicketsSold]]</f>
        <v>0</v>
      </c>
      <c r="O210">
        <v>0</v>
      </c>
      <c r="P210">
        <v>0</v>
      </c>
    </row>
    <row r="211" spans="1:16" hidden="1" x14ac:dyDescent="0.3">
      <c r="A211">
        <v>5209</v>
      </c>
      <c r="B211" t="s">
        <v>65</v>
      </c>
      <c r="C211" t="s">
        <v>32</v>
      </c>
      <c r="D211" t="s">
        <v>18</v>
      </c>
      <c r="E211" t="s">
        <v>29</v>
      </c>
      <c r="F211" t="s">
        <v>20</v>
      </c>
      <c r="G211" t="s">
        <v>35</v>
      </c>
      <c r="H211">
        <v>0</v>
      </c>
      <c r="I211" s="3">
        <v>646.44000000000005</v>
      </c>
      <c r="J211">
        <v>0.05</v>
      </c>
      <c r="K211" s="1">
        <v>0</v>
      </c>
      <c r="L211" t="s">
        <v>22</v>
      </c>
      <c r="M211" t="s">
        <v>22</v>
      </c>
      <c r="N211" s="2">
        <f>Table1[[#This Row],[TotalSales]]/Table1[[#This Row],[TicketPrice]]*Table1[[#This Row],[TicketsSold]]</f>
        <v>0</v>
      </c>
      <c r="O211">
        <v>1</v>
      </c>
      <c r="P211">
        <v>1</v>
      </c>
    </row>
    <row r="212" spans="1:16" x14ac:dyDescent="0.3">
      <c r="A212">
        <v>5210</v>
      </c>
      <c r="B212" t="s">
        <v>16</v>
      </c>
      <c r="C212" t="s">
        <v>28</v>
      </c>
      <c r="D212" t="s">
        <v>18</v>
      </c>
      <c r="E212" t="s">
        <v>25</v>
      </c>
      <c r="F212" t="s">
        <v>20</v>
      </c>
      <c r="G212" t="s">
        <v>21</v>
      </c>
      <c r="H212">
        <v>1</v>
      </c>
      <c r="I212" s="5">
        <v>731.58</v>
      </c>
      <c r="J212">
        <v>0</v>
      </c>
      <c r="K212" s="4">
        <v>731.58</v>
      </c>
      <c r="L212" t="s">
        <v>30</v>
      </c>
      <c r="M212" t="s">
        <v>22</v>
      </c>
      <c r="N212" s="2">
        <f>Table1[[#This Row],[TotalSales]]/Table1[[#This Row],[TicketPrice]]*Table1[[#This Row],[TicketsSold]]</f>
        <v>1</v>
      </c>
      <c r="O212">
        <v>0</v>
      </c>
      <c r="P212">
        <v>1</v>
      </c>
    </row>
    <row r="213" spans="1:16" x14ac:dyDescent="0.3">
      <c r="A213">
        <v>5211</v>
      </c>
      <c r="B213" t="s">
        <v>69</v>
      </c>
      <c r="C213" t="s">
        <v>32</v>
      </c>
      <c r="D213" t="s">
        <v>43</v>
      </c>
      <c r="E213" t="s">
        <v>29</v>
      </c>
      <c r="F213" t="s">
        <v>34</v>
      </c>
      <c r="G213" t="s">
        <v>40</v>
      </c>
      <c r="H213">
        <v>2</v>
      </c>
      <c r="I213" s="5">
        <v>1116.3599999999999</v>
      </c>
      <c r="J213">
        <v>0.1</v>
      </c>
      <c r="K213" s="4">
        <v>2009.4479999999999</v>
      </c>
      <c r="L213" t="s">
        <v>30</v>
      </c>
      <c r="M213" t="s">
        <v>30</v>
      </c>
      <c r="N213" s="2">
        <f>Table1[[#This Row],[TotalSales]]/Table1[[#This Row],[TicketPrice]]*Table1[[#This Row],[TicketsSold]]</f>
        <v>3.6</v>
      </c>
      <c r="O213">
        <v>0</v>
      </c>
      <c r="P213">
        <v>0</v>
      </c>
    </row>
    <row r="214" spans="1:16" x14ac:dyDescent="0.3">
      <c r="A214">
        <v>5212</v>
      </c>
      <c r="B214" t="s">
        <v>75</v>
      </c>
      <c r="C214" t="s">
        <v>32</v>
      </c>
      <c r="D214" t="s">
        <v>46</v>
      </c>
      <c r="E214" t="s">
        <v>25</v>
      </c>
      <c r="F214" t="s">
        <v>26</v>
      </c>
      <c r="G214" t="s">
        <v>21</v>
      </c>
      <c r="H214">
        <v>1</v>
      </c>
      <c r="I214" s="5">
        <v>1125.3900000000001</v>
      </c>
      <c r="J214">
        <v>0</v>
      </c>
      <c r="K214" s="4">
        <v>1125.3900000000001</v>
      </c>
      <c r="L214" t="s">
        <v>22</v>
      </c>
      <c r="M214" t="s">
        <v>30</v>
      </c>
      <c r="N214" s="2">
        <f>Table1[[#This Row],[TotalSales]]/Table1[[#This Row],[TicketPrice]]*Table1[[#This Row],[TicketsSold]]</f>
        <v>1</v>
      </c>
      <c r="O214">
        <v>1</v>
      </c>
      <c r="P214">
        <v>0</v>
      </c>
    </row>
    <row r="215" spans="1:16" hidden="1" x14ac:dyDescent="0.3">
      <c r="A215">
        <v>5213</v>
      </c>
      <c r="B215" t="s">
        <v>94</v>
      </c>
      <c r="C215" t="s">
        <v>28</v>
      </c>
      <c r="D215" t="s">
        <v>45</v>
      </c>
      <c r="E215" t="s">
        <v>19</v>
      </c>
      <c r="F215" t="s">
        <v>26</v>
      </c>
      <c r="G215" t="s">
        <v>35</v>
      </c>
      <c r="H215">
        <v>0</v>
      </c>
      <c r="I215" s="3">
        <v>1116.42</v>
      </c>
      <c r="J215">
        <v>0</v>
      </c>
      <c r="K215" s="1">
        <v>0</v>
      </c>
      <c r="L215" t="s">
        <v>30</v>
      </c>
      <c r="M215" t="s">
        <v>22</v>
      </c>
      <c r="N215" s="2">
        <f>Table1[[#This Row],[TotalSales]]/Table1[[#This Row],[TicketPrice]]*Table1[[#This Row],[TicketsSold]]</f>
        <v>0</v>
      </c>
      <c r="O215">
        <v>0</v>
      </c>
      <c r="P215">
        <v>1</v>
      </c>
    </row>
    <row r="216" spans="1:16" hidden="1" x14ac:dyDescent="0.3">
      <c r="A216">
        <v>5214</v>
      </c>
      <c r="B216" t="s">
        <v>82</v>
      </c>
      <c r="C216" t="s">
        <v>32</v>
      </c>
      <c r="D216" t="s">
        <v>33</v>
      </c>
      <c r="E216" t="s">
        <v>19</v>
      </c>
      <c r="F216" t="s">
        <v>20</v>
      </c>
      <c r="G216" t="s">
        <v>40</v>
      </c>
      <c r="H216">
        <v>0</v>
      </c>
      <c r="I216" s="3">
        <v>671.48</v>
      </c>
      <c r="K216" s="1">
        <v>0</v>
      </c>
      <c r="L216" t="s">
        <v>30</v>
      </c>
      <c r="M216" t="s">
        <v>30</v>
      </c>
      <c r="N216" s="2">
        <f>Table1[[#This Row],[TotalSales]]/Table1[[#This Row],[TicketPrice]]*Table1[[#This Row],[TicketsSold]]</f>
        <v>0</v>
      </c>
      <c r="O216">
        <v>0</v>
      </c>
      <c r="P216">
        <v>0</v>
      </c>
    </row>
    <row r="217" spans="1:16" hidden="1" x14ac:dyDescent="0.3">
      <c r="A217">
        <v>5215</v>
      </c>
      <c r="B217" t="s">
        <v>39</v>
      </c>
      <c r="C217" t="s">
        <v>28</v>
      </c>
      <c r="D217" t="s">
        <v>24</v>
      </c>
      <c r="E217" t="s">
        <v>19</v>
      </c>
      <c r="F217" t="s">
        <v>26</v>
      </c>
      <c r="G217" t="s">
        <v>21</v>
      </c>
      <c r="H217">
        <v>0</v>
      </c>
      <c r="I217" s="3">
        <v>152.63</v>
      </c>
      <c r="K217" s="1">
        <v>0</v>
      </c>
      <c r="L217" t="s">
        <v>22</v>
      </c>
      <c r="M217" t="s">
        <v>30</v>
      </c>
      <c r="N217" s="2">
        <f>Table1[[#This Row],[TotalSales]]/Table1[[#This Row],[TicketPrice]]*Table1[[#This Row],[TicketsSold]]</f>
        <v>0</v>
      </c>
      <c r="O217">
        <v>1</v>
      </c>
      <c r="P217">
        <v>0</v>
      </c>
    </row>
    <row r="218" spans="1:16" hidden="1" x14ac:dyDescent="0.3">
      <c r="A218">
        <v>5216</v>
      </c>
      <c r="B218" t="s">
        <v>65</v>
      </c>
      <c r="C218" t="s">
        <v>17</v>
      </c>
      <c r="D218" t="s">
        <v>24</v>
      </c>
      <c r="E218" t="s">
        <v>29</v>
      </c>
      <c r="F218" t="s">
        <v>26</v>
      </c>
      <c r="G218" t="s">
        <v>21</v>
      </c>
      <c r="H218">
        <v>0</v>
      </c>
      <c r="I218" s="3">
        <v>261.62</v>
      </c>
      <c r="J218">
        <v>0.1</v>
      </c>
      <c r="K218" s="1">
        <v>0</v>
      </c>
      <c r="L218" t="s">
        <v>30</v>
      </c>
      <c r="M218" t="s">
        <v>22</v>
      </c>
      <c r="N218" s="2">
        <f>Table1[[#This Row],[TotalSales]]/Table1[[#This Row],[TicketPrice]]*Table1[[#This Row],[TicketsSold]]</f>
        <v>0</v>
      </c>
      <c r="O218">
        <v>0</v>
      </c>
      <c r="P218">
        <v>1</v>
      </c>
    </row>
    <row r="219" spans="1:16" x14ac:dyDescent="0.3">
      <c r="A219">
        <v>5217</v>
      </c>
      <c r="B219" t="s">
        <v>86</v>
      </c>
      <c r="C219" t="s">
        <v>28</v>
      </c>
      <c r="D219" t="s">
        <v>33</v>
      </c>
      <c r="E219" t="s">
        <v>29</v>
      </c>
      <c r="F219" t="s">
        <v>34</v>
      </c>
      <c r="G219" t="s">
        <v>21</v>
      </c>
      <c r="H219">
        <v>1</v>
      </c>
      <c r="I219" s="5">
        <v>354.03</v>
      </c>
      <c r="J219">
        <v>0.05</v>
      </c>
      <c r="K219" s="4">
        <v>336.32849999999996</v>
      </c>
      <c r="L219" t="s">
        <v>22</v>
      </c>
      <c r="M219" t="s">
        <v>22</v>
      </c>
      <c r="N219" s="2">
        <f>Table1[[#This Row],[TotalSales]]/Table1[[#This Row],[TicketPrice]]*Table1[[#This Row],[TicketsSold]]</f>
        <v>0.95</v>
      </c>
      <c r="O219">
        <v>1</v>
      </c>
      <c r="P219">
        <v>1</v>
      </c>
    </row>
    <row r="220" spans="1:16" hidden="1" x14ac:dyDescent="0.3">
      <c r="A220">
        <v>5218</v>
      </c>
      <c r="B220" t="s">
        <v>47</v>
      </c>
      <c r="C220" t="s">
        <v>32</v>
      </c>
      <c r="D220" t="s">
        <v>46</v>
      </c>
      <c r="E220" t="s">
        <v>19</v>
      </c>
      <c r="F220" t="s">
        <v>34</v>
      </c>
      <c r="G220" t="s">
        <v>35</v>
      </c>
      <c r="H220">
        <v>0</v>
      </c>
      <c r="I220" s="3">
        <v>915.76</v>
      </c>
      <c r="J220">
        <v>0.1</v>
      </c>
      <c r="K220" s="1">
        <v>0</v>
      </c>
      <c r="L220" t="s">
        <v>30</v>
      </c>
      <c r="M220" t="s">
        <v>22</v>
      </c>
      <c r="N220" s="2">
        <f>Table1[[#This Row],[TotalSales]]/Table1[[#This Row],[TicketPrice]]*Table1[[#This Row],[TicketsSold]]</f>
        <v>0</v>
      </c>
      <c r="O220">
        <v>0</v>
      </c>
      <c r="P220">
        <v>1</v>
      </c>
    </row>
    <row r="221" spans="1:16" x14ac:dyDescent="0.3">
      <c r="A221">
        <v>5219</v>
      </c>
      <c r="B221" t="s">
        <v>36</v>
      </c>
      <c r="C221" t="s">
        <v>28</v>
      </c>
      <c r="D221" t="s">
        <v>46</v>
      </c>
      <c r="E221" t="s">
        <v>29</v>
      </c>
      <c r="F221" t="s">
        <v>20</v>
      </c>
      <c r="G221" t="s">
        <v>35</v>
      </c>
      <c r="H221">
        <v>3</v>
      </c>
      <c r="I221" s="5">
        <v>918.03</v>
      </c>
      <c r="J221">
        <v>0</v>
      </c>
      <c r="K221" s="4">
        <v>2754.09</v>
      </c>
      <c r="L221" t="s">
        <v>30</v>
      </c>
      <c r="M221" t="s">
        <v>30</v>
      </c>
      <c r="N221" s="2">
        <f>Table1[[#This Row],[TotalSales]]/Table1[[#This Row],[TicketPrice]]*Table1[[#This Row],[TicketsSold]]</f>
        <v>9.0000000000000018</v>
      </c>
      <c r="O221">
        <v>0</v>
      </c>
      <c r="P221">
        <v>0</v>
      </c>
    </row>
    <row r="222" spans="1:16" hidden="1" x14ac:dyDescent="0.3">
      <c r="A222">
        <v>5220</v>
      </c>
      <c r="B222" t="s">
        <v>58</v>
      </c>
      <c r="C222" t="s">
        <v>17</v>
      </c>
      <c r="D222" t="s">
        <v>33</v>
      </c>
      <c r="E222" t="s">
        <v>19</v>
      </c>
      <c r="F222" t="s">
        <v>34</v>
      </c>
      <c r="G222" t="s">
        <v>21</v>
      </c>
      <c r="H222">
        <v>0</v>
      </c>
      <c r="I222" s="3">
        <v>212.73</v>
      </c>
      <c r="J222">
        <v>0.1</v>
      </c>
      <c r="K222" s="1">
        <v>0</v>
      </c>
      <c r="L222" t="s">
        <v>22</v>
      </c>
      <c r="M222" t="s">
        <v>30</v>
      </c>
      <c r="N222" s="2">
        <f>Table1[[#This Row],[TotalSales]]/Table1[[#This Row],[TicketPrice]]*Table1[[#This Row],[TicketsSold]]</f>
        <v>0</v>
      </c>
      <c r="O222">
        <v>1</v>
      </c>
      <c r="P222">
        <v>0</v>
      </c>
    </row>
    <row r="223" spans="1:16" hidden="1" x14ac:dyDescent="0.3">
      <c r="A223">
        <v>5221</v>
      </c>
      <c r="B223" t="s">
        <v>88</v>
      </c>
      <c r="C223" t="s">
        <v>17</v>
      </c>
      <c r="D223" t="s">
        <v>45</v>
      </c>
      <c r="E223" t="s">
        <v>29</v>
      </c>
      <c r="F223" t="s">
        <v>20</v>
      </c>
      <c r="G223" t="s">
        <v>40</v>
      </c>
      <c r="H223">
        <v>0</v>
      </c>
      <c r="I223" s="3">
        <v>1279.78</v>
      </c>
      <c r="J223">
        <v>0</v>
      </c>
      <c r="K223" s="1">
        <v>0</v>
      </c>
      <c r="L223" t="s">
        <v>30</v>
      </c>
      <c r="M223" t="s">
        <v>30</v>
      </c>
      <c r="N223" s="2">
        <f>Table1[[#This Row],[TotalSales]]/Table1[[#This Row],[TicketPrice]]*Table1[[#This Row],[TicketsSold]]</f>
        <v>0</v>
      </c>
      <c r="O223">
        <v>0</v>
      </c>
      <c r="P223">
        <v>0</v>
      </c>
    </row>
    <row r="224" spans="1:16" x14ac:dyDescent="0.3">
      <c r="A224">
        <v>5222</v>
      </c>
      <c r="B224" t="s">
        <v>80</v>
      </c>
      <c r="C224" t="s">
        <v>28</v>
      </c>
      <c r="D224" t="s">
        <v>33</v>
      </c>
      <c r="E224" t="s">
        <v>19</v>
      </c>
      <c r="F224" t="s">
        <v>26</v>
      </c>
      <c r="G224" t="s">
        <v>21</v>
      </c>
      <c r="H224">
        <v>3</v>
      </c>
      <c r="I224" s="5">
        <v>1214.0999999999999</v>
      </c>
      <c r="J224">
        <v>0.1</v>
      </c>
      <c r="K224" s="4">
        <v>3278.0699999999997</v>
      </c>
      <c r="L224" t="s">
        <v>30</v>
      </c>
      <c r="M224" t="s">
        <v>30</v>
      </c>
      <c r="N224" s="2">
        <f>Table1[[#This Row],[TotalSales]]/Table1[[#This Row],[TicketPrice]]*Table1[[#This Row],[TicketsSold]]</f>
        <v>8.1000000000000014</v>
      </c>
      <c r="O224">
        <v>0</v>
      </c>
      <c r="P224">
        <v>0</v>
      </c>
    </row>
    <row r="225" spans="1:16" x14ac:dyDescent="0.3">
      <c r="A225">
        <v>5223</v>
      </c>
      <c r="B225" t="s">
        <v>76</v>
      </c>
      <c r="C225" t="s">
        <v>32</v>
      </c>
      <c r="D225" t="s">
        <v>18</v>
      </c>
      <c r="E225" t="s">
        <v>19</v>
      </c>
      <c r="F225" t="s">
        <v>34</v>
      </c>
      <c r="G225" t="s">
        <v>40</v>
      </c>
      <c r="H225">
        <v>1</v>
      </c>
      <c r="I225" s="5">
        <v>952.6</v>
      </c>
      <c r="J225">
        <v>0.1</v>
      </c>
      <c r="K225" s="4">
        <v>857.34</v>
      </c>
      <c r="L225" t="s">
        <v>30</v>
      </c>
      <c r="M225" t="s">
        <v>22</v>
      </c>
      <c r="N225" s="2">
        <f>Table1[[#This Row],[TotalSales]]/Table1[[#This Row],[TicketPrice]]*Table1[[#This Row],[TicketsSold]]</f>
        <v>0.9</v>
      </c>
      <c r="O225">
        <v>0</v>
      </c>
      <c r="P225">
        <v>1</v>
      </c>
    </row>
    <row r="226" spans="1:16" hidden="1" x14ac:dyDescent="0.3">
      <c r="A226">
        <v>5224</v>
      </c>
      <c r="B226" t="s">
        <v>78</v>
      </c>
      <c r="C226" t="s">
        <v>32</v>
      </c>
      <c r="D226" t="s">
        <v>24</v>
      </c>
      <c r="E226" t="s">
        <v>29</v>
      </c>
      <c r="F226" t="s">
        <v>26</v>
      </c>
      <c r="G226" t="s">
        <v>21</v>
      </c>
      <c r="H226">
        <v>0</v>
      </c>
      <c r="I226" s="3">
        <v>1351.67</v>
      </c>
      <c r="K226" s="1">
        <v>0</v>
      </c>
      <c r="L226" t="s">
        <v>22</v>
      </c>
      <c r="M226" t="s">
        <v>30</v>
      </c>
      <c r="N226" s="2">
        <f>Table1[[#This Row],[TotalSales]]/Table1[[#This Row],[TicketPrice]]*Table1[[#This Row],[TicketsSold]]</f>
        <v>0</v>
      </c>
      <c r="O226">
        <v>1</v>
      </c>
      <c r="P226">
        <v>0</v>
      </c>
    </row>
    <row r="227" spans="1:16" x14ac:dyDescent="0.3">
      <c r="A227">
        <v>5225</v>
      </c>
      <c r="B227" t="s">
        <v>41</v>
      </c>
      <c r="C227" t="s">
        <v>28</v>
      </c>
      <c r="D227" t="s">
        <v>46</v>
      </c>
      <c r="E227" t="s">
        <v>25</v>
      </c>
      <c r="F227" t="s">
        <v>26</v>
      </c>
      <c r="G227" t="s">
        <v>35</v>
      </c>
      <c r="H227">
        <v>1</v>
      </c>
      <c r="I227" s="5">
        <v>1169.1500000000001</v>
      </c>
      <c r="J227">
        <v>0.1</v>
      </c>
      <c r="K227" s="4">
        <v>1052.2350000000001</v>
      </c>
      <c r="L227" t="s">
        <v>30</v>
      </c>
      <c r="M227" t="s">
        <v>22</v>
      </c>
      <c r="N227" s="2">
        <f>Table1[[#This Row],[TotalSales]]/Table1[[#This Row],[TicketPrice]]*Table1[[#This Row],[TicketsSold]]</f>
        <v>0.9</v>
      </c>
      <c r="O227">
        <v>0</v>
      </c>
      <c r="P227">
        <v>1</v>
      </c>
    </row>
    <row r="228" spans="1:16" x14ac:dyDescent="0.3">
      <c r="A228">
        <v>5226</v>
      </c>
      <c r="B228" t="s">
        <v>89</v>
      </c>
      <c r="C228" t="s">
        <v>17</v>
      </c>
      <c r="D228" t="s">
        <v>18</v>
      </c>
      <c r="E228" t="s">
        <v>29</v>
      </c>
      <c r="F228" t="s">
        <v>34</v>
      </c>
      <c r="G228" t="s">
        <v>21</v>
      </c>
      <c r="H228">
        <v>2</v>
      </c>
      <c r="I228" s="5">
        <v>334.83</v>
      </c>
      <c r="J228">
        <v>0.1</v>
      </c>
      <c r="K228" s="4">
        <v>602.69399999999996</v>
      </c>
      <c r="L228" t="s">
        <v>30</v>
      </c>
      <c r="M228" t="s">
        <v>30</v>
      </c>
      <c r="N228" s="2">
        <f>Table1[[#This Row],[TotalSales]]/Table1[[#This Row],[TicketPrice]]*Table1[[#This Row],[TicketsSold]]</f>
        <v>3.6</v>
      </c>
      <c r="O228">
        <v>0</v>
      </c>
      <c r="P228">
        <v>0</v>
      </c>
    </row>
    <row r="229" spans="1:16" x14ac:dyDescent="0.3">
      <c r="A229">
        <v>5227</v>
      </c>
      <c r="B229" t="s">
        <v>50</v>
      </c>
      <c r="C229" t="s">
        <v>17</v>
      </c>
      <c r="D229" t="s">
        <v>45</v>
      </c>
      <c r="E229" t="s">
        <v>25</v>
      </c>
      <c r="F229" t="s">
        <v>34</v>
      </c>
      <c r="G229" t="s">
        <v>21</v>
      </c>
      <c r="H229">
        <v>4</v>
      </c>
      <c r="I229" s="5">
        <v>1198.9000000000001</v>
      </c>
      <c r="J229">
        <v>0.1</v>
      </c>
      <c r="K229" s="4">
        <v>4316.0400000000009</v>
      </c>
      <c r="L229" t="s">
        <v>30</v>
      </c>
      <c r="M229" t="s">
        <v>22</v>
      </c>
      <c r="N229" s="2">
        <f>Table1[[#This Row],[TotalSales]]/Table1[[#This Row],[TicketPrice]]*Table1[[#This Row],[TicketsSold]]</f>
        <v>14.400000000000002</v>
      </c>
      <c r="O229">
        <v>0</v>
      </c>
      <c r="P229">
        <v>1</v>
      </c>
    </row>
    <row r="230" spans="1:16" hidden="1" x14ac:dyDescent="0.3">
      <c r="A230">
        <v>5228</v>
      </c>
      <c r="B230" t="s">
        <v>76</v>
      </c>
      <c r="C230" t="s">
        <v>17</v>
      </c>
      <c r="D230" t="s">
        <v>18</v>
      </c>
      <c r="E230" t="s">
        <v>25</v>
      </c>
      <c r="F230" t="s">
        <v>34</v>
      </c>
      <c r="G230" t="s">
        <v>21</v>
      </c>
      <c r="H230">
        <v>0</v>
      </c>
      <c r="I230" s="3">
        <v>1095.72</v>
      </c>
      <c r="J230">
        <v>0</v>
      </c>
      <c r="K230" s="1">
        <v>0</v>
      </c>
      <c r="L230" t="s">
        <v>22</v>
      </c>
      <c r="M230" t="s">
        <v>22</v>
      </c>
      <c r="N230" s="2">
        <f>Table1[[#This Row],[TotalSales]]/Table1[[#This Row],[TicketPrice]]*Table1[[#This Row],[TicketsSold]]</f>
        <v>0</v>
      </c>
      <c r="O230">
        <v>1</v>
      </c>
      <c r="P230">
        <v>1</v>
      </c>
    </row>
    <row r="231" spans="1:16" x14ac:dyDescent="0.3">
      <c r="A231">
        <v>5229</v>
      </c>
      <c r="B231" t="s">
        <v>76</v>
      </c>
      <c r="C231" t="s">
        <v>32</v>
      </c>
      <c r="D231" t="s">
        <v>18</v>
      </c>
      <c r="E231" t="s">
        <v>19</v>
      </c>
      <c r="F231" t="s">
        <v>34</v>
      </c>
      <c r="G231" t="s">
        <v>21</v>
      </c>
      <c r="H231">
        <v>4</v>
      </c>
      <c r="I231" s="5">
        <v>1490.73</v>
      </c>
      <c r="J231">
        <v>0</v>
      </c>
      <c r="K231" s="4">
        <v>5962.92</v>
      </c>
      <c r="L231" t="s">
        <v>22</v>
      </c>
      <c r="M231" t="s">
        <v>22</v>
      </c>
      <c r="N231" s="2">
        <f>Table1[[#This Row],[TotalSales]]/Table1[[#This Row],[TicketPrice]]*Table1[[#This Row],[TicketsSold]]</f>
        <v>16</v>
      </c>
      <c r="O231">
        <v>1</v>
      </c>
      <c r="P231">
        <v>1</v>
      </c>
    </row>
    <row r="232" spans="1:16" x14ac:dyDescent="0.3">
      <c r="A232">
        <v>5230</v>
      </c>
      <c r="B232" t="s">
        <v>51</v>
      </c>
      <c r="C232" t="s">
        <v>32</v>
      </c>
      <c r="D232" t="s">
        <v>46</v>
      </c>
      <c r="E232" t="s">
        <v>19</v>
      </c>
      <c r="F232" t="s">
        <v>26</v>
      </c>
      <c r="G232" t="s">
        <v>35</v>
      </c>
      <c r="H232">
        <v>2</v>
      </c>
      <c r="I232" s="5">
        <v>1468.77</v>
      </c>
      <c r="J232">
        <v>0</v>
      </c>
      <c r="K232" s="4">
        <v>2937.54</v>
      </c>
      <c r="L232" t="s">
        <v>30</v>
      </c>
      <c r="M232" t="s">
        <v>30</v>
      </c>
      <c r="N232" s="2">
        <f>Table1[[#This Row],[TotalSales]]/Table1[[#This Row],[TicketPrice]]*Table1[[#This Row],[TicketsSold]]</f>
        <v>4</v>
      </c>
      <c r="O232">
        <v>0</v>
      </c>
      <c r="P232">
        <v>0</v>
      </c>
    </row>
    <row r="233" spans="1:16" hidden="1" x14ac:dyDescent="0.3">
      <c r="A233">
        <v>5231</v>
      </c>
      <c r="B233" t="s">
        <v>85</v>
      </c>
      <c r="C233" t="s">
        <v>28</v>
      </c>
      <c r="D233" t="s">
        <v>45</v>
      </c>
      <c r="E233" t="s">
        <v>19</v>
      </c>
      <c r="F233" t="s">
        <v>20</v>
      </c>
      <c r="G233" t="s">
        <v>21</v>
      </c>
      <c r="H233">
        <v>0</v>
      </c>
      <c r="I233" s="3">
        <v>1149.92</v>
      </c>
      <c r="J233">
        <v>0</v>
      </c>
      <c r="K233" s="1">
        <v>0</v>
      </c>
      <c r="L233" t="s">
        <v>30</v>
      </c>
      <c r="M233" t="s">
        <v>22</v>
      </c>
      <c r="N233" s="2">
        <f>Table1[[#This Row],[TotalSales]]/Table1[[#This Row],[TicketPrice]]*Table1[[#This Row],[TicketsSold]]</f>
        <v>0</v>
      </c>
      <c r="O233">
        <v>0</v>
      </c>
      <c r="P233">
        <v>1</v>
      </c>
    </row>
    <row r="234" spans="1:16" hidden="1" x14ac:dyDescent="0.3">
      <c r="A234">
        <v>5232</v>
      </c>
      <c r="B234" t="s">
        <v>94</v>
      </c>
      <c r="C234" t="s">
        <v>28</v>
      </c>
      <c r="D234" t="s">
        <v>24</v>
      </c>
      <c r="E234" t="s">
        <v>29</v>
      </c>
      <c r="F234" t="s">
        <v>26</v>
      </c>
      <c r="G234" t="s">
        <v>40</v>
      </c>
      <c r="H234">
        <v>0</v>
      </c>
      <c r="I234" s="3">
        <v>919.71</v>
      </c>
      <c r="J234">
        <v>0</v>
      </c>
      <c r="K234" s="1">
        <v>0</v>
      </c>
      <c r="L234" t="s">
        <v>30</v>
      </c>
      <c r="M234" t="s">
        <v>30</v>
      </c>
      <c r="N234" s="2">
        <f>Table1[[#This Row],[TotalSales]]/Table1[[#This Row],[TicketPrice]]*Table1[[#This Row],[TicketsSold]]</f>
        <v>0</v>
      </c>
      <c r="O234">
        <v>0</v>
      </c>
      <c r="P234">
        <v>0</v>
      </c>
    </row>
    <row r="235" spans="1:16" x14ac:dyDescent="0.3">
      <c r="A235">
        <v>5233</v>
      </c>
      <c r="B235" t="s">
        <v>69</v>
      </c>
      <c r="C235" t="s">
        <v>32</v>
      </c>
      <c r="D235" t="s">
        <v>24</v>
      </c>
      <c r="E235" t="s">
        <v>19</v>
      </c>
      <c r="F235" t="s">
        <v>20</v>
      </c>
      <c r="G235" t="s">
        <v>21</v>
      </c>
      <c r="H235">
        <v>5</v>
      </c>
      <c r="I235" s="5">
        <v>891.19</v>
      </c>
      <c r="J235">
        <v>0</v>
      </c>
      <c r="K235" s="4">
        <v>4455.9500000000007</v>
      </c>
      <c r="L235" t="s">
        <v>30</v>
      </c>
      <c r="M235" t="s">
        <v>30</v>
      </c>
      <c r="N235" s="2">
        <f>Table1[[#This Row],[TotalSales]]/Table1[[#This Row],[TicketPrice]]*Table1[[#This Row],[TicketsSold]]</f>
        <v>25.000000000000004</v>
      </c>
      <c r="O235">
        <v>0</v>
      </c>
      <c r="P235">
        <v>0</v>
      </c>
    </row>
    <row r="236" spans="1:16" x14ac:dyDescent="0.3">
      <c r="A236">
        <v>5234</v>
      </c>
      <c r="B236" t="s">
        <v>16</v>
      </c>
      <c r="C236" t="s">
        <v>32</v>
      </c>
      <c r="D236" t="s">
        <v>24</v>
      </c>
      <c r="E236" t="s">
        <v>29</v>
      </c>
      <c r="F236" t="s">
        <v>26</v>
      </c>
      <c r="G236" t="s">
        <v>35</v>
      </c>
      <c r="H236">
        <v>1</v>
      </c>
      <c r="I236" s="5">
        <v>554.83000000000004</v>
      </c>
      <c r="J236">
        <v>0</v>
      </c>
      <c r="K236" s="4">
        <v>554.83000000000004</v>
      </c>
      <c r="L236" t="s">
        <v>30</v>
      </c>
      <c r="M236" t="s">
        <v>22</v>
      </c>
      <c r="N236" s="2">
        <f>Table1[[#This Row],[TotalSales]]/Table1[[#This Row],[TicketPrice]]*Table1[[#This Row],[TicketsSold]]</f>
        <v>1</v>
      </c>
      <c r="O236">
        <v>0</v>
      </c>
      <c r="P236">
        <v>1</v>
      </c>
    </row>
    <row r="237" spans="1:16" hidden="1" x14ac:dyDescent="0.3">
      <c r="A237">
        <v>5235</v>
      </c>
      <c r="B237" t="s">
        <v>50</v>
      </c>
      <c r="C237" t="s">
        <v>28</v>
      </c>
      <c r="D237" t="s">
        <v>43</v>
      </c>
      <c r="E237" t="s">
        <v>25</v>
      </c>
      <c r="F237" t="s">
        <v>26</v>
      </c>
      <c r="G237" t="s">
        <v>35</v>
      </c>
      <c r="H237">
        <v>0</v>
      </c>
      <c r="I237" s="3">
        <v>1055.6400000000001</v>
      </c>
      <c r="J237">
        <v>0.05</v>
      </c>
      <c r="K237" s="1">
        <v>0</v>
      </c>
      <c r="L237" t="s">
        <v>22</v>
      </c>
      <c r="M237" t="s">
        <v>30</v>
      </c>
      <c r="N237" s="2">
        <f>Table1[[#This Row],[TotalSales]]/Table1[[#This Row],[TicketPrice]]*Table1[[#This Row],[TicketsSold]]</f>
        <v>0</v>
      </c>
      <c r="O237">
        <v>1</v>
      </c>
      <c r="P237">
        <v>0</v>
      </c>
    </row>
    <row r="238" spans="1:16" x14ac:dyDescent="0.3">
      <c r="A238">
        <v>5236</v>
      </c>
      <c r="B238" t="s">
        <v>85</v>
      </c>
      <c r="C238" t="s">
        <v>28</v>
      </c>
      <c r="D238" t="s">
        <v>43</v>
      </c>
      <c r="E238" t="s">
        <v>29</v>
      </c>
      <c r="F238" t="s">
        <v>34</v>
      </c>
      <c r="G238" t="s">
        <v>35</v>
      </c>
      <c r="H238">
        <v>2</v>
      </c>
      <c r="I238" s="5">
        <v>445.23</v>
      </c>
      <c r="J238">
        <v>0.05</v>
      </c>
      <c r="K238" s="4">
        <v>845.93700000000001</v>
      </c>
      <c r="L238" t="s">
        <v>30</v>
      </c>
      <c r="M238" t="s">
        <v>30</v>
      </c>
      <c r="N238" s="2">
        <f>Table1[[#This Row],[TotalSales]]/Table1[[#This Row],[TicketPrice]]*Table1[[#This Row],[TicketsSold]]</f>
        <v>3.8</v>
      </c>
      <c r="O238">
        <v>0</v>
      </c>
      <c r="P238">
        <v>0</v>
      </c>
    </row>
    <row r="239" spans="1:16" x14ac:dyDescent="0.3">
      <c r="A239">
        <v>5237</v>
      </c>
      <c r="B239" t="s">
        <v>85</v>
      </c>
      <c r="C239" t="s">
        <v>28</v>
      </c>
      <c r="D239" t="s">
        <v>45</v>
      </c>
      <c r="E239" t="s">
        <v>19</v>
      </c>
      <c r="F239" t="s">
        <v>26</v>
      </c>
      <c r="G239" t="s">
        <v>40</v>
      </c>
      <c r="H239">
        <v>2</v>
      </c>
      <c r="I239" s="5">
        <v>137.74</v>
      </c>
      <c r="J239">
        <v>0</v>
      </c>
      <c r="K239" s="4">
        <v>275.48</v>
      </c>
      <c r="L239" t="s">
        <v>22</v>
      </c>
      <c r="M239" t="s">
        <v>22</v>
      </c>
      <c r="N239" s="2">
        <f>Table1[[#This Row],[TotalSales]]/Table1[[#This Row],[TicketPrice]]*Table1[[#This Row],[TicketsSold]]</f>
        <v>4</v>
      </c>
      <c r="O239">
        <v>1</v>
      </c>
      <c r="P239">
        <v>1</v>
      </c>
    </row>
    <row r="240" spans="1:16" x14ac:dyDescent="0.3">
      <c r="A240">
        <v>5238</v>
      </c>
      <c r="B240" t="s">
        <v>38</v>
      </c>
      <c r="C240" t="s">
        <v>28</v>
      </c>
      <c r="D240" t="s">
        <v>18</v>
      </c>
      <c r="E240" t="s">
        <v>29</v>
      </c>
      <c r="F240" t="s">
        <v>26</v>
      </c>
      <c r="G240" t="s">
        <v>40</v>
      </c>
      <c r="H240">
        <v>1</v>
      </c>
      <c r="I240" s="5">
        <v>170.97</v>
      </c>
      <c r="J240">
        <v>0</v>
      </c>
      <c r="K240" s="4">
        <v>170.97</v>
      </c>
      <c r="L240" t="s">
        <v>22</v>
      </c>
      <c r="M240" t="s">
        <v>30</v>
      </c>
      <c r="N240" s="2">
        <f>Table1[[#This Row],[TotalSales]]/Table1[[#This Row],[TicketPrice]]*Table1[[#This Row],[TicketsSold]]</f>
        <v>1</v>
      </c>
      <c r="O240">
        <v>1</v>
      </c>
      <c r="P240">
        <v>0</v>
      </c>
    </row>
    <row r="241" spans="1:16" x14ac:dyDescent="0.3">
      <c r="A241">
        <v>5239</v>
      </c>
      <c r="B241" t="s">
        <v>71</v>
      </c>
      <c r="C241" t="s">
        <v>32</v>
      </c>
      <c r="D241" t="s">
        <v>24</v>
      </c>
      <c r="E241" t="s">
        <v>29</v>
      </c>
      <c r="F241" t="s">
        <v>34</v>
      </c>
      <c r="G241" t="s">
        <v>40</v>
      </c>
      <c r="H241">
        <v>2</v>
      </c>
      <c r="I241" s="5">
        <v>850.98</v>
      </c>
      <c r="J241">
        <v>0</v>
      </c>
      <c r="K241" s="4">
        <v>1701.96</v>
      </c>
      <c r="L241" t="s">
        <v>22</v>
      </c>
      <c r="M241" t="s">
        <v>30</v>
      </c>
      <c r="N241" s="2">
        <f>Table1[[#This Row],[TotalSales]]/Table1[[#This Row],[TicketPrice]]*Table1[[#This Row],[TicketsSold]]</f>
        <v>4</v>
      </c>
      <c r="O241">
        <v>1</v>
      </c>
      <c r="P241">
        <v>0</v>
      </c>
    </row>
    <row r="242" spans="1:16" x14ac:dyDescent="0.3">
      <c r="A242">
        <v>5240</v>
      </c>
      <c r="B242" t="s">
        <v>71</v>
      </c>
      <c r="C242" t="s">
        <v>28</v>
      </c>
      <c r="D242" t="s">
        <v>43</v>
      </c>
      <c r="E242" t="s">
        <v>29</v>
      </c>
      <c r="F242" t="s">
        <v>26</v>
      </c>
      <c r="G242" t="s">
        <v>21</v>
      </c>
      <c r="H242">
        <v>4</v>
      </c>
      <c r="I242" s="5">
        <v>890.78</v>
      </c>
      <c r="J242">
        <v>0</v>
      </c>
      <c r="K242" s="4">
        <v>3563.12</v>
      </c>
      <c r="L242" t="s">
        <v>30</v>
      </c>
      <c r="M242" t="s">
        <v>22</v>
      </c>
      <c r="N242" s="2">
        <f>Table1[[#This Row],[TotalSales]]/Table1[[#This Row],[TicketPrice]]*Table1[[#This Row],[TicketsSold]]</f>
        <v>16</v>
      </c>
      <c r="O242">
        <v>0</v>
      </c>
      <c r="P242">
        <v>1</v>
      </c>
    </row>
    <row r="243" spans="1:16" x14ac:dyDescent="0.3">
      <c r="A243">
        <v>5241</v>
      </c>
      <c r="B243" t="s">
        <v>54</v>
      </c>
      <c r="C243" t="s">
        <v>17</v>
      </c>
      <c r="D243" t="s">
        <v>45</v>
      </c>
      <c r="E243" t="s">
        <v>29</v>
      </c>
      <c r="F243" t="s">
        <v>26</v>
      </c>
      <c r="G243" t="s">
        <v>40</v>
      </c>
      <c r="H243">
        <v>2</v>
      </c>
      <c r="I243" s="5">
        <v>204.59</v>
      </c>
      <c r="J243">
        <v>0.05</v>
      </c>
      <c r="K243" s="4">
        <v>388.721</v>
      </c>
      <c r="L243" t="s">
        <v>22</v>
      </c>
      <c r="M243" t="s">
        <v>30</v>
      </c>
      <c r="N243" s="2">
        <f>Table1[[#This Row],[TotalSales]]/Table1[[#This Row],[TicketPrice]]*Table1[[#This Row],[TicketsSold]]</f>
        <v>3.8</v>
      </c>
      <c r="O243">
        <v>1</v>
      </c>
      <c r="P243">
        <v>0</v>
      </c>
    </row>
    <row r="244" spans="1:16" hidden="1" x14ac:dyDescent="0.3">
      <c r="A244">
        <v>5242</v>
      </c>
      <c r="B244" t="s">
        <v>51</v>
      </c>
      <c r="C244" t="s">
        <v>32</v>
      </c>
      <c r="D244" t="s">
        <v>18</v>
      </c>
      <c r="E244" t="s">
        <v>19</v>
      </c>
      <c r="F244" t="s">
        <v>26</v>
      </c>
      <c r="G244" t="s">
        <v>35</v>
      </c>
      <c r="H244">
        <v>0</v>
      </c>
      <c r="I244" s="3">
        <v>210.87</v>
      </c>
      <c r="J244">
        <v>0.05</v>
      </c>
      <c r="K244" s="1">
        <v>0</v>
      </c>
      <c r="L244" t="s">
        <v>22</v>
      </c>
      <c r="M244" t="s">
        <v>30</v>
      </c>
      <c r="N244" s="2">
        <f>Table1[[#This Row],[TotalSales]]/Table1[[#This Row],[TicketPrice]]*Table1[[#This Row],[TicketsSold]]</f>
        <v>0</v>
      </c>
      <c r="O244">
        <v>1</v>
      </c>
      <c r="P244">
        <v>0</v>
      </c>
    </row>
    <row r="245" spans="1:16" x14ac:dyDescent="0.3">
      <c r="A245">
        <v>5243</v>
      </c>
      <c r="B245" t="s">
        <v>48</v>
      </c>
      <c r="C245" t="s">
        <v>28</v>
      </c>
      <c r="D245" t="s">
        <v>33</v>
      </c>
      <c r="E245" t="s">
        <v>29</v>
      </c>
      <c r="F245" t="s">
        <v>34</v>
      </c>
      <c r="G245" t="s">
        <v>21</v>
      </c>
      <c r="H245">
        <v>1</v>
      </c>
      <c r="I245" s="5">
        <v>265.31</v>
      </c>
      <c r="J245">
        <v>0</v>
      </c>
      <c r="K245" s="4">
        <v>265.31</v>
      </c>
      <c r="L245" t="s">
        <v>22</v>
      </c>
      <c r="M245" t="s">
        <v>22</v>
      </c>
      <c r="N245" s="2">
        <f>Table1[[#This Row],[TotalSales]]/Table1[[#This Row],[TicketPrice]]*Table1[[#This Row],[TicketsSold]]</f>
        <v>1</v>
      </c>
      <c r="O245">
        <v>1</v>
      </c>
      <c r="P245">
        <v>1</v>
      </c>
    </row>
    <row r="246" spans="1:16" x14ac:dyDescent="0.3">
      <c r="A246">
        <v>5244</v>
      </c>
      <c r="B246" t="s">
        <v>44</v>
      </c>
      <c r="C246" t="s">
        <v>28</v>
      </c>
      <c r="D246" t="s">
        <v>46</v>
      </c>
      <c r="E246" t="s">
        <v>29</v>
      </c>
      <c r="F246" t="s">
        <v>26</v>
      </c>
      <c r="G246" t="s">
        <v>21</v>
      </c>
      <c r="H246">
        <v>5</v>
      </c>
      <c r="I246" s="5">
        <v>724.47</v>
      </c>
      <c r="J246">
        <v>0</v>
      </c>
      <c r="K246" s="4">
        <v>3622.3500000000004</v>
      </c>
      <c r="L246" t="s">
        <v>30</v>
      </c>
      <c r="M246" t="s">
        <v>22</v>
      </c>
      <c r="N246" s="2">
        <f>Table1[[#This Row],[TotalSales]]/Table1[[#This Row],[TicketPrice]]*Table1[[#This Row],[TicketsSold]]</f>
        <v>25</v>
      </c>
      <c r="O246">
        <v>0</v>
      </c>
      <c r="P246">
        <v>1</v>
      </c>
    </row>
    <row r="247" spans="1:16" x14ac:dyDescent="0.3">
      <c r="A247">
        <v>5245</v>
      </c>
      <c r="B247" t="s">
        <v>92</v>
      </c>
      <c r="C247" t="s">
        <v>32</v>
      </c>
      <c r="D247" t="s">
        <v>18</v>
      </c>
      <c r="E247" t="s">
        <v>19</v>
      </c>
      <c r="F247" t="s">
        <v>34</v>
      </c>
      <c r="G247" t="s">
        <v>21</v>
      </c>
      <c r="H247">
        <v>2</v>
      </c>
      <c r="I247" s="5">
        <v>608.39</v>
      </c>
      <c r="J247">
        <v>0</v>
      </c>
      <c r="K247" s="4">
        <v>1216.78</v>
      </c>
      <c r="L247" t="s">
        <v>30</v>
      </c>
      <c r="M247" t="s">
        <v>30</v>
      </c>
      <c r="N247" s="2">
        <f>Table1[[#This Row],[TotalSales]]/Table1[[#This Row],[TicketPrice]]*Table1[[#This Row],[TicketsSold]]</f>
        <v>4</v>
      </c>
      <c r="O247">
        <v>0</v>
      </c>
      <c r="P247">
        <v>0</v>
      </c>
    </row>
    <row r="248" spans="1:16" hidden="1" x14ac:dyDescent="0.3">
      <c r="A248">
        <v>5246</v>
      </c>
      <c r="B248" t="s">
        <v>67</v>
      </c>
      <c r="C248" t="s">
        <v>32</v>
      </c>
      <c r="D248" t="s">
        <v>24</v>
      </c>
      <c r="E248" t="s">
        <v>29</v>
      </c>
      <c r="F248" t="s">
        <v>34</v>
      </c>
      <c r="G248" t="s">
        <v>35</v>
      </c>
      <c r="H248">
        <v>0</v>
      </c>
      <c r="I248" s="3">
        <v>879.56</v>
      </c>
      <c r="J248">
        <v>0</v>
      </c>
      <c r="K248" s="1">
        <v>0</v>
      </c>
      <c r="L248" t="s">
        <v>30</v>
      </c>
      <c r="M248" t="s">
        <v>30</v>
      </c>
      <c r="N248" s="2">
        <f>Table1[[#This Row],[TotalSales]]/Table1[[#This Row],[TicketPrice]]*Table1[[#This Row],[TicketsSold]]</f>
        <v>0</v>
      </c>
      <c r="O248">
        <v>0</v>
      </c>
      <c r="P248">
        <v>0</v>
      </c>
    </row>
    <row r="249" spans="1:16" x14ac:dyDescent="0.3">
      <c r="A249">
        <v>5247</v>
      </c>
      <c r="B249" t="s">
        <v>42</v>
      </c>
      <c r="C249" t="s">
        <v>28</v>
      </c>
      <c r="D249" t="s">
        <v>46</v>
      </c>
      <c r="E249" t="s">
        <v>19</v>
      </c>
      <c r="F249" t="s">
        <v>26</v>
      </c>
      <c r="G249" t="s">
        <v>21</v>
      </c>
      <c r="H249">
        <v>1</v>
      </c>
      <c r="I249" s="5">
        <v>258.45999999999998</v>
      </c>
      <c r="J249">
        <v>0.1</v>
      </c>
      <c r="K249" s="4">
        <v>232.61399999999998</v>
      </c>
      <c r="L249" t="s">
        <v>22</v>
      </c>
      <c r="M249" t="s">
        <v>22</v>
      </c>
      <c r="N249" s="2">
        <f>Table1[[#This Row],[TotalSales]]/Table1[[#This Row],[TicketPrice]]*Table1[[#This Row],[TicketsSold]]</f>
        <v>0.9</v>
      </c>
      <c r="O249">
        <v>1</v>
      </c>
      <c r="P249">
        <v>1</v>
      </c>
    </row>
    <row r="250" spans="1:16" x14ac:dyDescent="0.3">
      <c r="A250">
        <v>5248</v>
      </c>
      <c r="B250" t="s">
        <v>86</v>
      </c>
      <c r="C250" t="s">
        <v>28</v>
      </c>
      <c r="D250" t="s">
        <v>46</v>
      </c>
      <c r="E250" t="s">
        <v>29</v>
      </c>
      <c r="F250" t="s">
        <v>34</v>
      </c>
      <c r="G250" t="s">
        <v>40</v>
      </c>
      <c r="H250">
        <v>1</v>
      </c>
      <c r="I250" s="5">
        <v>479.02</v>
      </c>
      <c r="J250">
        <v>0.1</v>
      </c>
      <c r="K250" s="4">
        <v>431.11799999999999</v>
      </c>
      <c r="L250" t="s">
        <v>30</v>
      </c>
      <c r="M250" t="s">
        <v>22</v>
      </c>
      <c r="N250" s="2">
        <f>Table1[[#This Row],[TotalSales]]/Table1[[#This Row],[TicketPrice]]*Table1[[#This Row],[TicketsSold]]</f>
        <v>0.9</v>
      </c>
      <c r="O250">
        <v>0</v>
      </c>
      <c r="P250">
        <v>1</v>
      </c>
    </row>
    <row r="251" spans="1:16" x14ac:dyDescent="0.3">
      <c r="A251">
        <v>5249</v>
      </c>
      <c r="B251" t="s">
        <v>63</v>
      </c>
      <c r="C251" t="s">
        <v>32</v>
      </c>
      <c r="D251" t="s">
        <v>24</v>
      </c>
      <c r="E251" t="s">
        <v>19</v>
      </c>
      <c r="F251" t="s">
        <v>26</v>
      </c>
      <c r="G251" t="s">
        <v>40</v>
      </c>
      <c r="H251">
        <v>2</v>
      </c>
      <c r="I251" s="5">
        <v>1032.02</v>
      </c>
      <c r="J251">
        <v>0</v>
      </c>
      <c r="K251" s="4">
        <v>2064.04</v>
      </c>
      <c r="L251" t="s">
        <v>22</v>
      </c>
      <c r="M251" t="s">
        <v>22</v>
      </c>
      <c r="N251" s="2">
        <f>Table1[[#This Row],[TotalSales]]/Table1[[#This Row],[TicketPrice]]*Table1[[#This Row],[TicketsSold]]</f>
        <v>4</v>
      </c>
      <c r="O251">
        <v>1</v>
      </c>
      <c r="P25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Janay Wesso</dc:creator>
  <cp:lastModifiedBy>Janay Wesso</cp:lastModifiedBy>
  <dcterms:created xsi:type="dcterms:W3CDTF">2026-02-16T11:20:18Z</dcterms:created>
  <dcterms:modified xsi:type="dcterms:W3CDTF">2026-02-16T12:04:51Z</dcterms:modified>
</cp:coreProperties>
</file>